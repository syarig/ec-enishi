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設定" sheetId="2" state="visible" r:id="rId4"/>
    <sheet name="送料表" sheetId="3" state="visible" r:id="rId5"/>
    <sheet name="利益計算" sheetId="4" state="visible" r:id="rId6"/>
    <sheet name="ショップ分析" sheetId="5" state="visible" r:id="rId7"/>
    <sheet name="候補展開" sheetId="6" state="visible" r:id="rId8"/>
    <sheet name="実績記録" sheetId="7" state="visible" r:id="rId9"/>
  </sheets>
  <definedNames>
    <definedName function="false" hidden="true" localSheetId="3" name="_xlnm._FilterDatabase" vbProcedure="false">利益計算!$A$4:$W$104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<sst xmlns="http://schemas.openxmlformats.org/spreadsheetml/2006/main" count="258" uniqueCount="225">
  <si>
    <r>
      <rPr>
        <b val="true"/>
        <sz val="16"/>
        <color rgb="FF000000"/>
        <rFont val="游ゴシック"/>
        <family val="0"/>
        <charset val="1"/>
      </rPr>
      <t xml:space="preserve">eBay</t>
    </r>
    <r>
      <rPr>
        <b val="true"/>
        <sz val="16"/>
        <color rgb="FF000000"/>
        <rFont val="WenQuanYi Zen Hei"/>
        <family val="2"/>
      </rPr>
      <t xml:space="preserve">輸出 利益計算・リサーチシート</t>
    </r>
  </si>
  <si>
    <t xml:space="preserve">セルの色</t>
  </si>
  <si>
    <t xml:space="preserve">青字・黄色背景 … 入力するセル</t>
  </si>
  <si>
    <t xml:space="preserve">黒字・白背景 … 自動計算（触らない）</t>
  </si>
  <si>
    <t xml:space="preserve">灰色背景 … 計算用の補助セル（触らない）</t>
  </si>
  <si>
    <t xml:space="preserve">使う順番</t>
  </si>
  <si>
    <r>
      <rPr>
        <sz val="10"/>
        <color rgb="FF000000"/>
        <rFont val="游ゴシック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「設定」… 為替レートを今日の値に更新。手数料率・関税率は </t>
    </r>
    <r>
      <rPr>
        <sz val="10"/>
        <color rgb="FF000000"/>
        <rFont val="游ゴシック"/>
        <family val="0"/>
        <charset val="1"/>
      </rPr>
      <t xml:space="preserve">eBay </t>
    </r>
    <r>
      <rPr>
        <sz val="10"/>
        <color rgb="FF000000"/>
        <rFont val="WenQuanYi Zen Hei"/>
        <family val="2"/>
      </rPr>
      <t xml:space="preserve">公式で確認して直す（最初に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回、あとは月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回）</t>
    </r>
  </si>
  <si>
    <r>
      <rPr>
        <sz val="10"/>
        <color rgb="FF000000"/>
        <rFont val="游ゴシック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「送料表」… 仮の値が入っています。</t>
    </r>
    <r>
      <rPr>
        <sz val="10"/>
        <color rgb="FF000000"/>
        <rFont val="游ゴシック"/>
        <family val="0"/>
        <charset val="1"/>
      </rPr>
      <t xml:space="preserve">SpeedPAK Economy </t>
    </r>
    <r>
      <rPr>
        <sz val="10"/>
        <color rgb="FF000000"/>
        <rFont val="WenQuanYi Zen Hei"/>
        <family val="2"/>
      </rPr>
      <t xml:space="preserve">の公式料金で必ず上書きする</t>
    </r>
  </si>
  <si>
    <r>
      <rPr>
        <sz val="10"/>
        <color rgb="FF000000"/>
        <rFont val="游ゴシック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「ショップ分析」… ① 売れている日本人セラーを</t>
    </r>
    <r>
      <rPr>
        <sz val="10"/>
        <color rgb="FF000000"/>
        <rFont val="游ゴシック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游ゴシック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店記録し、共通点をまとめる</t>
    </r>
  </si>
  <si>
    <r>
      <rPr>
        <sz val="10"/>
        <color rgb="FF000000"/>
        <rFont val="游ゴシック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「候補展開」… ② 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つの売れ筋を横・縦・周辺に</t>
    </r>
    <r>
      <rPr>
        <sz val="10"/>
        <color rgb="FF000000"/>
        <rFont val="游ゴシック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游ゴシック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件広げ、③ 売れた理由が同じものに○を付ける</t>
    </r>
  </si>
  <si>
    <r>
      <rPr>
        <sz val="10"/>
        <color rgb="FF000000"/>
        <rFont val="游ゴシック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「利益計算」… ○の候補を転記。判定が「◎ 出品候補」のものだけ出品する</t>
    </r>
  </si>
  <si>
    <t xml:space="preserve">    「目標を満たす最低販売価格」の列で、いくらで売れれば合格かが分かる（相場がそれより下なら見送り）</t>
  </si>
  <si>
    <r>
      <rPr>
        <sz val="10"/>
        <color rgb="FF000000"/>
        <rFont val="游ゴシック"/>
        <family val="0"/>
        <charset val="1"/>
      </rPr>
      <t xml:space="preserve">6. </t>
    </r>
    <r>
      <rPr>
        <sz val="10"/>
        <color rgb="FF000000"/>
        <rFont val="WenQuanYi Zen Hei"/>
        <family val="2"/>
      </rPr>
      <t xml:space="preserve">「実績記録」… 毎日の作業時間・出品数・販売数・利益を記録。月ごとの時給を見る</t>
    </r>
  </si>
  <si>
    <t xml:space="preserve">判定の基準（「設定」で変更できる）</t>
  </si>
  <si>
    <r>
      <rPr>
        <sz val="10"/>
        <color rgb="FF000000"/>
        <rFont val="WenQuanYi Zen Hei"/>
        <family val="2"/>
      </rPr>
      <t xml:space="preserve">◎ 出品候補 … 利益率</t>
    </r>
    <r>
      <rPr>
        <sz val="10"/>
        <color rgb="FF000000"/>
        <rFont val="游ゴシック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以上 かつ 利益</t>
    </r>
    <r>
      <rPr>
        <sz val="10"/>
        <color rgb="FF000000"/>
        <rFont val="游ゴシック"/>
        <family val="0"/>
        <charset val="1"/>
      </rPr>
      <t xml:space="preserve">1,000</t>
    </r>
    <r>
      <rPr>
        <sz val="10"/>
        <color rgb="FF000000"/>
        <rFont val="WenQuanYi Zen Hei"/>
        <family val="2"/>
      </rPr>
      <t xml:space="preserve">円以上 かつ 直近</t>
    </r>
    <r>
      <rPr>
        <sz val="10"/>
        <color rgb="FF000000"/>
        <rFont val="游ゴシック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日に</t>
    </r>
    <r>
      <rPr>
        <sz val="10"/>
        <color rgb="FF000000"/>
        <rFont val="游ゴシック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件以上売れている</t>
    </r>
  </si>
  <si>
    <r>
      <rPr>
        <sz val="10"/>
        <color rgb="FF000000"/>
        <rFont val="WenQuanYi Zen Hei"/>
        <family val="2"/>
      </rPr>
      <t xml:space="preserve">△ 利益</t>
    </r>
    <r>
      <rPr>
        <sz val="10"/>
        <color rgb="FF000000"/>
        <rFont val="游ゴシック"/>
        <family val="0"/>
        <charset val="1"/>
      </rPr>
      <t xml:space="preserve">OK</t>
    </r>
    <r>
      <rPr>
        <sz val="10"/>
        <color rgb="FF000000"/>
        <rFont val="WenQuanYi Zen Hei"/>
        <family val="2"/>
      </rPr>
      <t xml:space="preserve">・販売実績が不足 … 利益は出るが売れた実績が少ない。様子見</t>
    </r>
  </si>
  <si>
    <r>
      <rPr>
        <sz val="10"/>
        <color rgb="FF000000"/>
        <rFont val="游ゴシック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見送り … 利益率か利益額が足りない</t>
    </r>
  </si>
  <si>
    <t xml:space="preserve">計算の前提と注意</t>
  </si>
  <si>
    <r>
      <rPr>
        <sz val="10"/>
        <color rgb="FF000000"/>
        <rFont val="WenQuanYi Zen Hei"/>
        <family val="2"/>
      </rPr>
      <t xml:space="preserve">・利益 </t>
    </r>
    <r>
      <rPr>
        <sz val="10"/>
        <color rgb="FF000000"/>
        <rFont val="游ゴシック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売上 −（仕入れ値 </t>
    </r>
    <r>
      <rPr>
        <sz val="10"/>
        <color rgb="FF000000"/>
        <rFont val="游ゴシック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仕入れ時の送料 </t>
    </r>
    <r>
      <rPr>
        <sz val="10"/>
        <color rgb="FF000000"/>
        <rFont val="游ゴシック"/>
        <family val="0"/>
        <charset val="1"/>
      </rPr>
      <t xml:space="preserve">+ eBay</t>
    </r>
    <r>
      <rPr>
        <sz val="10"/>
        <color rgb="FF000000"/>
        <rFont val="WenQuanYi Zen Hei"/>
        <family val="2"/>
      </rPr>
      <t xml:space="preserve">手数料 </t>
    </r>
    <r>
      <rPr>
        <sz val="10"/>
        <color rgb="FF000000"/>
        <rFont val="游ゴシック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換金コスト </t>
    </r>
    <r>
      <rPr>
        <sz val="10"/>
        <color rgb="FF000000"/>
        <rFont val="游ゴシック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国際送料 </t>
    </r>
    <r>
      <rPr>
        <sz val="10"/>
        <color rgb="FF000000"/>
        <rFont val="游ゴシック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関税など </t>
    </r>
    <r>
      <rPr>
        <sz val="10"/>
        <color rgb="FF000000"/>
        <rFont val="游ゴシック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梱包資材費）</t>
    </r>
  </si>
  <si>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游ゴシック"/>
        <family val="0"/>
        <charset val="1"/>
      </rPr>
      <t xml:space="preserve">eBay</t>
    </r>
    <r>
      <rPr>
        <sz val="10"/>
        <color rgb="FF000000"/>
        <rFont val="WenQuanYi Zen Hei"/>
        <family val="2"/>
      </rPr>
      <t xml:space="preserve">手数料 </t>
    </r>
    <r>
      <rPr>
        <sz val="10"/>
        <color rgb="FF000000"/>
        <rFont val="游ゴシック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（販売価格 </t>
    </r>
    <r>
      <rPr>
        <sz val="10"/>
        <color rgb="FF000000"/>
        <rFont val="游ゴシック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買い手負担の送料）</t>
    </r>
    <r>
      <rPr>
        <sz val="10"/>
        <color rgb="FF000000"/>
        <rFont val="游ゴシック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（落札手数料率 </t>
    </r>
    <r>
      <rPr>
        <sz val="10"/>
        <color rgb="FF000000"/>
        <rFont val="游ゴシック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海外決済手数料率 </t>
    </r>
    <r>
      <rPr>
        <sz val="10"/>
        <color rgb="FF000000"/>
        <rFont val="游ゴシック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広告費率）</t>
    </r>
    <r>
      <rPr>
        <sz val="10"/>
        <color rgb="FF000000"/>
        <rFont val="游ゴシック"/>
        <family val="0"/>
        <charset val="1"/>
      </rPr>
      <t xml:space="preserve">+ 1</t>
    </r>
    <r>
      <rPr>
        <sz val="10"/>
        <color rgb="FF000000"/>
        <rFont val="WenQuanYi Zen Hei"/>
        <family val="2"/>
      </rPr>
      <t xml:space="preserve">注文あたり固定手数料</t>
    </r>
  </si>
  <si>
    <r>
      <rPr>
        <sz val="10"/>
        <color rgb="FF000000"/>
        <rFont val="WenQuanYi Zen Hei"/>
        <family val="2"/>
      </rPr>
      <t xml:space="preserve">・関税は売り手負担（</t>
    </r>
    <r>
      <rPr>
        <sz val="10"/>
        <color rgb="FF000000"/>
        <rFont val="游ゴシック"/>
        <family val="0"/>
        <charset val="1"/>
      </rPr>
      <t xml:space="preserve">DDP</t>
    </r>
    <r>
      <rPr>
        <sz val="10"/>
        <color rgb="FF000000"/>
        <rFont val="WenQuanYi Zen Hei"/>
        <family val="2"/>
      </rPr>
      <t xml:space="preserve">）前提の保守的な計算。英国・</t>
    </r>
    <r>
      <rPr>
        <sz val="10"/>
        <color rgb="FF000000"/>
        <rFont val="游ゴシック"/>
        <family val="0"/>
        <charset val="1"/>
      </rPr>
      <t xml:space="preserve">EU</t>
    </r>
    <r>
      <rPr>
        <sz val="10"/>
        <color rgb="FF000000"/>
        <rFont val="WenQuanYi Zen Hei"/>
        <family val="2"/>
      </rPr>
      <t xml:space="preserve">・オーストラリアの付加価値税（</t>
    </r>
    <r>
      <rPr>
        <sz val="10"/>
        <color rgb="FF000000"/>
        <rFont val="游ゴシック"/>
        <family val="0"/>
        <charset val="1"/>
      </rPr>
      <t xml:space="preserve">GST</t>
    </r>
    <r>
      <rPr>
        <sz val="10"/>
        <color rgb="FF000000"/>
        <rFont val="WenQuanYi Zen Hei"/>
        <family val="2"/>
      </rPr>
      <t xml:space="preserve">）は </t>
    </r>
    <r>
      <rPr>
        <sz val="10"/>
        <color rgb="FF000000"/>
        <rFont val="游ゴシック"/>
        <family val="0"/>
        <charset val="1"/>
      </rPr>
      <t xml:space="preserve">eBay </t>
    </r>
    <r>
      <rPr>
        <sz val="10"/>
        <color rgb="FF000000"/>
        <rFont val="WenQuanYi Zen Hei"/>
        <family val="2"/>
      </rPr>
      <t xml:space="preserve">が買い手から徴収するので含めていない</t>
    </r>
  </si>
  <si>
    <t xml:space="preserve">・米国では売上税込みの金額に落札手数料がかかるため、実際の手数料は計算より少し高くなる</t>
  </si>
  <si>
    <r>
      <rPr>
        <sz val="10"/>
        <color rgb="FF000000"/>
        <rFont val="WenQuanYi Zen Hei"/>
        <family val="2"/>
      </rPr>
      <t xml:space="preserve">・手数料率・関税率・送料は変わります。数値は</t>
    </r>
    <r>
      <rPr>
        <sz val="10"/>
        <color rgb="FF000000"/>
        <rFont val="游ゴシック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游ゴシック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月時点の目安なので、作業前に公式情報で確認してください</t>
    </r>
  </si>
  <si>
    <t xml:space="preserve">出典</t>
  </si>
  <si>
    <r>
      <rPr>
        <sz val="10"/>
        <color rgb="FF000000"/>
        <rFont val="游ゴシック"/>
        <family val="0"/>
        <charset val="1"/>
      </rPr>
      <t xml:space="preserve">eBay </t>
    </r>
    <r>
      <rPr>
        <sz val="10"/>
        <color rgb="FF000000"/>
        <rFont val="WenQuanYi Zen Hei"/>
        <family val="2"/>
      </rPr>
      <t xml:space="preserve">販売手数料の概要：</t>
    </r>
    <r>
      <rPr>
        <sz val="10"/>
        <color rgb="FF000000"/>
        <rFont val="游ゴシック"/>
        <family val="0"/>
        <charset val="1"/>
      </rPr>
      <t xml:space="preserve">https://wwwcojp.ebay.com/fee/overview-selling-fees</t>
    </r>
  </si>
  <si>
    <r>
      <rPr>
        <sz val="10"/>
        <color rgb="FF000000"/>
        <rFont val="游ゴシック"/>
        <family val="0"/>
        <charset val="1"/>
      </rPr>
      <t xml:space="preserve">eBay </t>
    </r>
    <r>
      <rPr>
        <sz val="10"/>
        <color rgb="FF000000"/>
        <rFont val="WenQuanYi Zen Hei"/>
        <family val="2"/>
      </rPr>
      <t xml:space="preserve">米国関税に関する案内：</t>
    </r>
    <r>
      <rPr>
        <sz val="10"/>
        <color rgb="FF000000"/>
        <rFont val="游ゴシック"/>
        <family val="0"/>
        <charset val="1"/>
      </rPr>
      <t xml:space="preserve">https://wwwcojp2.ebay.com/tariffs</t>
    </r>
  </si>
  <si>
    <r>
      <rPr>
        <sz val="10"/>
        <color rgb="FF000000"/>
        <rFont val="游ゴシック"/>
        <family val="0"/>
        <charset val="1"/>
      </rPr>
      <t xml:space="preserve">eBay DDP</t>
    </r>
    <r>
      <rPr>
        <sz val="10"/>
        <color rgb="FF000000"/>
        <rFont val="WenQuanYi Zen Hei"/>
        <family val="2"/>
      </rPr>
      <t xml:space="preserve">（関税元払い）案内：</t>
    </r>
    <r>
      <rPr>
        <sz val="10"/>
        <color rgb="FF000000"/>
        <rFont val="游ゴシック"/>
        <family val="0"/>
        <charset val="1"/>
      </rPr>
      <t xml:space="preserve">https://wwwcojp.ebay.com/ddp-info</t>
    </r>
  </si>
  <si>
    <r>
      <rPr>
        <sz val="10"/>
        <color rgb="FF000000"/>
        <rFont val="游ゴシック"/>
        <family val="0"/>
        <charset val="1"/>
      </rPr>
      <t xml:space="preserve">SpeedPAK Economy </t>
    </r>
    <r>
      <rPr>
        <sz val="10"/>
        <color rgb="FF000000"/>
        <rFont val="WenQuanYi Zen Hei"/>
        <family val="2"/>
      </rPr>
      <t xml:space="preserve">の概要（ネットショップ担当者フォーラム）：</t>
    </r>
    <r>
      <rPr>
        <sz val="10"/>
        <color rgb="FF000000"/>
        <rFont val="游ゴシック"/>
        <family val="0"/>
        <charset val="1"/>
      </rPr>
      <t xml:space="preserve">https://netshop.impress.co.jp/node/12664</t>
    </r>
  </si>
  <si>
    <r>
      <rPr>
        <sz val="10"/>
        <color rgb="FF000000"/>
        <rFont val="WenQuanYi Zen Hei"/>
        <family val="2"/>
      </rPr>
      <t xml:space="preserve">日本郵便 米国宛て郵便物の引受再開（</t>
    </r>
    <r>
      <rPr>
        <sz val="10"/>
        <color rgb="FF000000"/>
        <rFont val="游ゴシック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游ゴシック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月）：</t>
    </r>
    <r>
      <rPr>
        <sz val="10"/>
        <color rgb="FF000000"/>
        <rFont val="游ゴシック"/>
        <family val="0"/>
        <charset val="1"/>
      </rPr>
      <t xml:space="preserve">https://www.post.japanpost.jp/int/information/2026/0413_01.html</t>
    </r>
  </si>
  <si>
    <t xml:space="preserve">設定（為替・手数料・関税・判定基準）</t>
  </si>
  <si>
    <r>
      <rPr>
        <sz val="10"/>
        <color rgb="FF595959"/>
        <rFont val="WenQuanYi Zen Hei"/>
        <family val="2"/>
      </rPr>
      <t xml:space="preserve">青字・黄色のセルを最新の値に更新してください。灰色は自動計算です。数値は</t>
    </r>
    <r>
      <rPr>
        <sz val="10"/>
        <color rgb="FF595959"/>
        <rFont val="游ゴシック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游ゴシック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月時点の目安で、必ず公式情報で確認してください。</t>
    </r>
  </si>
  <si>
    <t xml:space="preserve">項目</t>
  </si>
  <si>
    <t xml:space="preserve">値</t>
  </si>
  <si>
    <t xml:space="preserve">単位</t>
  </si>
  <si>
    <t xml:space="preserve">説明・出典</t>
  </si>
  <si>
    <r>
      <rPr>
        <sz val="10"/>
        <color rgb="FF000000"/>
        <rFont val="WenQuanYi Zen Hei"/>
        <family val="2"/>
      </rPr>
      <t xml:space="preserve">為替レート（円</t>
    </r>
    <r>
      <rPr>
        <sz val="10"/>
        <color rgb="FF000000"/>
        <rFont val="游ゴシック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ドル）</t>
    </r>
  </si>
  <si>
    <t xml:space="preserve">円</t>
  </si>
  <si>
    <t xml:space="preserve">仮の値。作業する日のレートに更新する。</t>
  </si>
  <si>
    <r>
      <rPr>
        <sz val="10"/>
        <color rgb="FF000000"/>
        <rFont val="WenQuanYi Zen Hei"/>
        <family val="2"/>
      </rPr>
      <t xml:space="preserve">為替レート（円</t>
    </r>
    <r>
      <rPr>
        <sz val="10"/>
        <color rgb="FF000000"/>
        <rFont val="游ゴシック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ユーロ）</t>
    </r>
  </si>
  <si>
    <r>
      <rPr>
        <sz val="10"/>
        <color rgb="FF595959"/>
        <rFont val="WenQuanYi Zen Hei"/>
        <family val="2"/>
      </rPr>
      <t xml:space="preserve">仮の値。</t>
    </r>
    <r>
      <rPr>
        <sz val="10"/>
        <color rgb="FF595959"/>
        <rFont val="游ゴシック"/>
        <family val="0"/>
        <charset val="1"/>
      </rPr>
      <t xml:space="preserve">EU</t>
    </r>
    <r>
      <rPr>
        <sz val="10"/>
        <color rgb="FF595959"/>
        <rFont val="WenQuanYi Zen Hei"/>
        <family val="2"/>
      </rPr>
      <t xml:space="preserve">向けの固定関税（€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）の円換算に使う。</t>
    </r>
  </si>
  <si>
    <r>
      <rPr>
        <sz val="10"/>
        <color rgb="FF000000"/>
        <rFont val="游ゴシック"/>
        <family val="0"/>
        <charset val="1"/>
      </rPr>
      <t xml:space="preserve">eBay </t>
    </r>
    <r>
      <rPr>
        <sz val="10"/>
        <color rgb="FF000000"/>
        <rFont val="WenQuanYi Zen Hei"/>
        <family val="2"/>
      </rPr>
      <t xml:space="preserve">落札手数料率</t>
    </r>
  </si>
  <si>
    <t xml:space="preserve">%</t>
  </si>
  <si>
    <r>
      <rPr>
        <sz val="10"/>
        <color rgb="FF595959"/>
        <rFont val="WenQuanYi Zen Hei"/>
        <family val="2"/>
      </rPr>
      <t xml:space="preserve">多くのカテゴリーの標準料率を仮置き。カテゴリー・ストア有無で変わる。米国では売上税込みの金額にかかるため、実際は少し高くなる。要確認：</t>
    </r>
    <r>
      <rPr>
        <sz val="10"/>
        <color rgb="FF595959"/>
        <rFont val="游ゴシック"/>
        <family val="0"/>
        <charset val="1"/>
      </rPr>
      <t xml:space="preserve">eBay</t>
    </r>
    <r>
      <rPr>
        <sz val="10"/>
        <color rgb="FF595959"/>
        <rFont val="WenQuanYi Zen Hei"/>
        <family val="2"/>
      </rPr>
      <t xml:space="preserve">公式「販売手数料の概要」</t>
    </r>
  </si>
  <si>
    <r>
      <rPr>
        <sz val="10"/>
        <color rgb="FF000000"/>
        <rFont val="游ゴシック"/>
        <family val="0"/>
        <charset val="1"/>
      </rPr>
      <t xml:space="preserve">eBay </t>
    </r>
    <r>
      <rPr>
        <sz val="10"/>
        <color rgb="FF000000"/>
        <rFont val="WenQuanYi Zen Hei"/>
        <family val="2"/>
      </rPr>
      <t xml:space="preserve">海外決済手数料率</t>
    </r>
  </si>
  <si>
    <r>
      <rPr>
        <sz val="10"/>
        <color rgb="FF595959"/>
        <rFont val="游ゴシック"/>
        <family val="0"/>
        <charset val="1"/>
      </rPr>
      <t xml:space="preserve">International fee</t>
    </r>
    <r>
      <rPr>
        <sz val="10"/>
        <color rgb="FF595959"/>
        <rFont val="WenQuanYi Zen Hei"/>
        <family val="2"/>
      </rPr>
      <t xml:space="preserve">。日本セラー（グローバルセラー）に適用。要確認：</t>
    </r>
    <r>
      <rPr>
        <sz val="10"/>
        <color rgb="FF595959"/>
        <rFont val="游ゴシック"/>
        <family val="0"/>
        <charset val="1"/>
      </rPr>
      <t xml:space="preserve">eBay</t>
    </r>
    <r>
      <rPr>
        <sz val="10"/>
        <color rgb="FF595959"/>
        <rFont val="WenQuanYi Zen Hei"/>
        <family val="2"/>
      </rPr>
      <t xml:space="preserve">公式「販売手数料の概要」</t>
    </r>
  </si>
  <si>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注文あたり固定手数料</t>
    </r>
  </si>
  <si>
    <t xml:space="preserve">$</t>
  </si>
  <si>
    <r>
      <rPr>
        <sz val="10"/>
        <color rgb="FF595959"/>
        <rFont val="游ゴシック"/>
        <family val="0"/>
        <charset val="1"/>
      </rPr>
      <t xml:space="preserve">Per-order fee</t>
    </r>
    <r>
      <rPr>
        <sz val="10"/>
        <color rgb="FF595959"/>
        <rFont val="WenQuanYi Zen Hei"/>
        <family val="2"/>
      </rPr>
      <t xml:space="preserve">。注文金額により変わる。要確認。</t>
    </r>
  </si>
  <si>
    <r>
      <rPr>
        <sz val="10"/>
        <color rgb="FF000000"/>
        <rFont val="WenQuanYi Zen Hei"/>
        <family val="2"/>
      </rPr>
      <t xml:space="preserve">広告費率（</t>
    </r>
    <r>
      <rPr>
        <sz val="10"/>
        <color rgb="FF000000"/>
        <rFont val="游ゴシック"/>
        <family val="0"/>
        <charset val="1"/>
      </rPr>
      <t xml:space="preserve">Promoted Listings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</si>
  <si>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595959"/>
        <rFont val="WenQuanYi Zen Hei"/>
        <family val="2"/>
      </rPr>
      <t xml:space="preserve">広告を使う場合だけ入力（例：</t>
    </r>
    <r>
      <rPr>
        <sz val="10"/>
        <color rgb="FF595959"/>
        <rFont val="游ゴシック"/>
        <family val="0"/>
        <charset val="1"/>
      </rPr>
      <t xml:space="preserve">2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游ゴシック"/>
        <family val="0"/>
        <charset val="1"/>
      </rPr>
      <t xml:space="preserve">5%</t>
    </r>
    <r>
      <rPr>
        <sz val="10"/>
        <color rgb="FF595959"/>
        <rFont val="WenQuanYi Zen Hei"/>
        <family val="2"/>
      </rPr>
      <t xml:space="preserve">）。使わなければ </t>
    </r>
    <r>
      <rPr>
        <sz val="10"/>
        <color rgb="FF595959"/>
        <rFont val="游ゴシック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。</t>
    </r>
  </si>
  <si>
    <t xml:space="preserve">換金コスト率（ドル→円）</t>
  </si>
  <si>
    <r>
      <rPr>
        <sz val="10"/>
        <color rgb="FF595959"/>
        <rFont val="WenQuanYi Zen Hei"/>
        <family val="2"/>
      </rPr>
      <t xml:space="preserve">売上を円で受け取るときの為替コストの仮置き。受取方法（</t>
    </r>
    <r>
      <rPr>
        <sz val="10"/>
        <color rgb="FF595959"/>
        <rFont val="游ゴシック"/>
        <family val="0"/>
        <charset val="1"/>
      </rPr>
      <t xml:space="preserve">eBay</t>
    </r>
    <r>
      <rPr>
        <sz val="10"/>
        <color rgb="FF595959"/>
        <rFont val="WenQuanYi Zen Hei"/>
        <family val="2"/>
      </rPr>
      <t xml:space="preserve">直接／</t>
    </r>
    <r>
      <rPr>
        <sz val="10"/>
        <color rgb="FF595959"/>
        <rFont val="游ゴシック"/>
        <family val="0"/>
        <charset val="1"/>
      </rPr>
      <t xml:space="preserve">Payoneer</t>
    </r>
    <r>
      <rPr>
        <sz val="10"/>
        <color rgb="FF595959"/>
        <rFont val="WenQuanYi Zen Hei"/>
        <family val="2"/>
      </rPr>
      <t xml:space="preserve">等）で変わる。</t>
    </r>
  </si>
  <si>
    <r>
      <rPr>
        <sz val="10"/>
        <color rgb="FF000000"/>
        <rFont val="WenQuanYi Zen Hei"/>
        <family val="2"/>
      </rPr>
      <t xml:space="preserve">梱包資材費（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件あたり）</t>
    </r>
  </si>
  <si>
    <t xml:space="preserve">緩衝材・袋・テープなど。段ボールを再利用するなら下げてよい。</t>
  </si>
  <si>
    <t xml:space="preserve">目標利益率</t>
  </si>
  <si>
    <r>
      <rPr>
        <sz val="10"/>
        <color rgb="FF595959"/>
        <rFont val="WenQuanYi Zen Hei"/>
        <family val="2"/>
      </rPr>
      <t xml:space="preserve">これ以上なら出品候補。計画の基準は </t>
    </r>
    <r>
      <rPr>
        <sz val="10"/>
        <color rgb="FF595959"/>
        <rFont val="游ゴシック"/>
        <family val="0"/>
        <charset val="1"/>
      </rPr>
      <t xml:space="preserve">20%</t>
    </r>
    <r>
      <rPr>
        <sz val="10"/>
        <color rgb="FF595959"/>
        <rFont val="WenQuanYi Zen Hei"/>
        <family val="2"/>
      </rPr>
      <t xml:space="preserve">。</t>
    </r>
  </si>
  <si>
    <r>
      <rPr>
        <sz val="10"/>
        <color rgb="FF000000"/>
        <rFont val="WenQuanYi Zen Hei"/>
        <family val="2"/>
      </rPr>
      <t xml:space="preserve">最低利益額（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件あたり）</t>
    </r>
  </si>
  <si>
    <t xml:space="preserve">これ未満は手間に見合わないので見送り。</t>
  </si>
  <si>
    <r>
      <rPr>
        <sz val="10"/>
        <color rgb="FF000000"/>
        <rFont val="WenQuanYi Zen Hei"/>
        <family val="2"/>
      </rPr>
      <t xml:space="preserve">最低販売実績（直近</t>
    </r>
    <r>
      <rPr>
        <sz val="10"/>
        <color rgb="FF000000"/>
        <rFont val="游ゴシック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日）</t>
    </r>
  </si>
  <si>
    <t xml:space="preserve">件</t>
  </si>
  <si>
    <r>
      <rPr>
        <sz val="10"/>
        <color rgb="FF595959"/>
        <rFont val="游ゴシック"/>
        <family val="0"/>
        <charset val="1"/>
      </rPr>
      <t xml:space="preserve">Product Research</t>
    </r>
    <r>
      <rPr>
        <sz val="10"/>
        <color rgb="FF595959"/>
        <rFont val="WenQuanYi Zen Hei"/>
        <family val="2"/>
      </rPr>
      <t xml:space="preserve">（</t>
    </r>
    <r>
      <rPr>
        <sz val="10"/>
        <color rgb="FF595959"/>
        <rFont val="游ゴシック"/>
        <family val="0"/>
        <charset val="1"/>
      </rPr>
      <t xml:space="preserve">Terapeak</t>
    </r>
    <r>
      <rPr>
        <sz val="10"/>
        <color rgb="FF595959"/>
        <rFont val="WenQuanYi Zen Hei"/>
        <family val="2"/>
      </rPr>
      <t xml:space="preserve">）で確認した販売数の基準。</t>
    </r>
  </si>
  <si>
    <t xml:space="preserve">（自動）手数料・換金後に残る率</t>
  </si>
  <si>
    <t xml:space="preserve">最低販売価格の計算に使う。触らない。</t>
  </si>
  <si>
    <t xml:space="preserve">（自動）上の率 − 目標利益率</t>
  </si>
  <si>
    <t xml:space="preserve">発送先別の関税・前払い手数料</t>
  </si>
  <si>
    <t xml:space="preserve">発送先コード</t>
  </si>
  <si>
    <t xml:space="preserve">国名</t>
  </si>
  <si>
    <t xml:space="preserve">関税率（商品代に対して）</t>
  </si>
  <si>
    <t xml:space="preserve">固定関税（円）</t>
  </si>
  <si>
    <t xml:space="preserve">前払い・通関手数料（円）</t>
  </si>
  <si>
    <t xml:space="preserve">備考</t>
  </si>
  <si>
    <t xml:space="preserve">US</t>
  </si>
  <si>
    <t xml:space="preserve">米国</t>
  </si>
  <si>
    <r>
      <rPr>
        <sz val="10"/>
        <color rgb="FF595959"/>
        <rFont val="WenQuanYi Zen Hei"/>
        <family val="2"/>
      </rPr>
      <t xml:space="preserve">日本からの商品にかかる関税率を仮置き（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年の日米合意の相互関税率）。売り手負担（</t>
    </r>
    <r>
      <rPr>
        <sz val="10"/>
        <color rgb="FF595959"/>
        <rFont val="游ゴシック"/>
        <family val="0"/>
        <charset val="1"/>
      </rPr>
      <t xml:space="preserve">DDP</t>
    </r>
    <r>
      <rPr>
        <sz val="10"/>
        <color rgb="FF595959"/>
        <rFont val="WenQuanYi Zen Hei"/>
        <family val="2"/>
      </rPr>
      <t xml:space="preserve">）前提。最新の率と前払い手数料は </t>
    </r>
    <r>
      <rPr>
        <sz val="10"/>
        <color rgb="FF595959"/>
        <rFont val="游ゴシック"/>
        <family val="0"/>
        <charset val="1"/>
      </rPr>
      <t xml:space="preserve">eBay</t>
    </r>
    <r>
      <rPr>
        <sz val="10"/>
        <color rgb="FF595959"/>
        <rFont val="WenQuanYi Zen Hei"/>
        <family val="2"/>
      </rPr>
      <t xml:space="preserve">「米国関税に関する案内」で要確認。</t>
    </r>
  </si>
  <si>
    <t xml:space="preserve">UK</t>
  </si>
  <si>
    <t xml:space="preserve">英国</t>
  </si>
  <si>
    <r>
      <rPr>
        <sz val="10"/>
        <color rgb="FF595959"/>
        <rFont val="游ゴシック"/>
        <family val="0"/>
        <charset val="1"/>
      </rPr>
      <t xml:space="preserve">£135</t>
    </r>
    <r>
      <rPr>
        <sz val="10"/>
        <color rgb="FF595959"/>
        <rFont val="WenQuanYi Zen Hei"/>
        <family val="2"/>
      </rPr>
      <t xml:space="preserve">以下の付加価値税は </t>
    </r>
    <r>
      <rPr>
        <sz val="10"/>
        <color rgb="FF595959"/>
        <rFont val="游ゴシック"/>
        <family val="0"/>
        <charset val="1"/>
      </rPr>
      <t xml:space="preserve">eBay </t>
    </r>
    <r>
      <rPr>
        <sz val="10"/>
        <color rgb="FF595959"/>
        <rFont val="WenQuanYi Zen Hei"/>
        <family val="2"/>
      </rPr>
      <t xml:space="preserve">が購入時に買い手から徴収するので計算に含めない。</t>
    </r>
  </si>
  <si>
    <t xml:space="preserve">DE</t>
  </si>
  <si>
    <r>
      <rPr>
        <sz val="10"/>
        <color rgb="FF000000"/>
        <rFont val="WenQuanYi Zen Hei"/>
        <family val="2"/>
      </rPr>
      <t xml:space="preserve">ドイツ（</t>
    </r>
    <r>
      <rPr>
        <sz val="10"/>
        <color rgb="FF000000"/>
        <rFont val="游ゴシック"/>
        <family val="0"/>
        <charset val="1"/>
      </rPr>
      <t xml:space="preserve">EU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</si>
  <si>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595959"/>
        <rFont val="游ゴシック"/>
        <family val="0"/>
        <charset val="1"/>
      </rPr>
      <t xml:space="preserve">2026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游ゴシック"/>
        <family val="0"/>
        <charset val="1"/>
      </rPr>
      <t xml:space="preserve">7</t>
    </r>
    <r>
      <rPr>
        <sz val="10"/>
        <color rgb="FF595959"/>
        <rFont val="WenQuanYi Zen Hei"/>
        <family val="2"/>
      </rPr>
      <t xml:space="preserve">月から€</t>
    </r>
    <r>
      <rPr>
        <sz val="10"/>
        <color rgb="FF595959"/>
        <rFont val="游ゴシック"/>
        <family val="0"/>
        <charset val="1"/>
      </rPr>
      <t xml:space="preserve">150</t>
    </r>
    <r>
      <rPr>
        <sz val="10"/>
        <color rgb="FF595959"/>
        <rFont val="WenQuanYi Zen Hei"/>
        <family val="2"/>
      </rPr>
      <t xml:space="preserve">以下の荷物にも品目ごとに€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の関税。保守的に売り手負担で計算。付加価値税は </t>
    </r>
    <r>
      <rPr>
        <sz val="10"/>
        <color rgb="FF595959"/>
        <rFont val="游ゴシック"/>
        <family val="0"/>
        <charset val="1"/>
      </rPr>
      <t xml:space="preserve">eBay </t>
    </r>
    <r>
      <rPr>
        <sz val="10"/>
        <color rgb="FF595959"/>
        <rFont val="WenQuanYi Zen Hei"/>
        <family val="2"/>
      </rPr>
      <t xml:space="preserve">が買い手から徴収。</t>
    </r>
  </si>
  <si>
    <t xml:space="preserve">AU</t>
  </si>
  <si>
    <t xml:space="preserve">オーストラリア</t>
  </si>
  <si>
    <r>
      <rPr>
        <sz val="10"/>
        <color rgb="FF595959"/>
        <rFont val="游ゴシック"/>
        <family val="0"/>
        <charset val="1"/>
      </rPr>
      <t xml:space="preserve">AUD1,000</t>
    </r>
    <r>
      <rPr>
        <sz val="10"/>
        <color rgb="FF595959"/>
        <rFont val="WenQuanYi Zen Hei"/>
        <family val="2"/>
      </rPr>
      <t xml:space="preserve">以下の</t>
    </r>
    <r>
      <rPr>
        <sz val="10"/>
        <color rgb="FF595959"/>
        <rFont val="游ゴシック"/>
        <family val="0"/>
        <charset val="1"/>
      </rPr>
      <t xml:space="preserve">GST</t>
    </r>
    <r>
      <rPr>
        <sz val="10"/>
        <color rgb="FF595959"/>
        <rFont val="WenQuanYi Zen Hei"/>
        <family val="2"/>
      </rPr>
      <t xml:space="preserve">は </t>
    </r>
    <r>
      <rPr>
        <sz val="10"/>
        <color rgb="FF595959"/>
        <rFont val="游ゴシック"/>
        <family val="0"/>
        <charset val="1"/>
      </rPr>
      <t xml:space="preserve">eBay </t>
    </r>
    <r>
      <rPr>
        <sz val="10"/>
        <color rgb="FF595959"/>
        <rFont val="WenQuanYi Zen Hei"/>
        <family val="2"/>
      </rPr>
      <t xml:space="preserve">が購入時に買い手から徴収するので計算に含めない。</t>
    </r>
  </si>
  <si>
    <t xml:space="preserve">売れた理由タグ（プルダウンの選択肢。自由に書き換え・追加してよい）</t>
  </si>
  <si>
    <t xml:space="preserve">キャラクター人気</t>
  </si>
  <si>
    <t xml:space="preserve">日本限定</t>
  </si>
  <si>
    <t xml:space="preserve">ブランド人気</t>
  </si>
  <si>
    <t xml:space="preserve">海外で入手困難</t>
  </si>
  <si>
    <t xml:space="preserve">サイズ・容量がちょうどいい</t>
  </si>
  <si>
    <t xml:space="preserve">セット内容がいい</t>
  </si>
  <si>
    <t xml:space="preserve">ギフト需要</t>
  </si>
  <si>
    <t xml:space="preserve">季節・イベント</t>
  </si>
  <si>
    <t xml:space="preserve">消耗品（リピート）</t>
  </si>
  <si>
    <t xml:space="preserve">その他</t>
  </si>
  <si>
    <r>
      <rPr>
        <b val="true"/>
        <sz val="14"/>
        <color rgb="FF000000"/>
        <rFont val="WenQuanYi Zen Hei"/>
        <family val="2"/>
      </rPr>
      <t xml:space="preserve">国際送料表（</t>
    </r>
    <r>
      <rPr>
        <b val="true"/>
        <sz val="14"/>
        <color rgb="FF000000"/>
        <rFont val="游ゴシック"/>
        <family val="0"/>
        <charset val="1"/>
      </rPr>
      <t xml:space="preserve">SpeedPAK Economy </t>
    </r>
    <r>
      <rPr>
        <b val="true"/>
        <sz val="14"/>
        <color rgb="FF000000"/>
        <rFont val="WenQuanYi Zen Hei"/>
        <family val="2"/>
      </rPr>
      <t xml:space="preserve">想定）</t>
    </r>
  </si>
  <si>
    <r>
      <rPr>
        <b val="true"/>
        <sz val="10"/>
        <color rgb="FFC00000"/>
        <rFont val="WenQuanYi Zen Hei"/>
        <family val="2"/>
      </rPr>
      <t xml:space="preserve">【重要】下の料金はすべて仮の値です（国別の差も未反映）。</t>
    </r>
    <r>
      <rPr>
        <b val="true"/>
        <sz val="10"/>
        <color rgb="FFC00000"/>
        <rFont val="游ゴシック"/>
        <family val="0"/>
        <charset val="1"/>
      </rPr>
      <t xml:space="preserve">eBay </t>
    </r>
    <r>
      <rPr>
        <b val="true"/>
        <sz val="10"/>
        <color rgb="FFC00000"/>
        <rFont val="WenQuanYi Zen Hei"/>
        <family val="2"/>
      </rPr>
      <t xml:space="preserve">公式の </t>
    </r>
    <r>
      <rPr>
        <b val="true"/>
        <sz val="10"/>
        <color rgb="FFC00000"/>
        <rFont val="游ゴシック"/>
        <family val="0"/>
        <charset val="1"/>
      </rPr>
      <t xml:space="preserve">SpeedPAK Economy </t>
    </r>
    <r>
      <rPr>
        <b val="true"/>
        <sz val="10"/>
        <color rgb="FFC00000"/>
        <rFont val="WenQuanYi Zen Hei"/>
        <family val="2"/>
      </rPr>
      <t xml:space="preserve">料金表で上書きしてください。</t>
    </r>
  </si>
  <si>
    <r>
      <rPr>
        <b val="true"/>
        <sz val="10"/>
        <color rgb="FFFFFFFF"/>
        <rFont val="WenQuanYi Zen Hei"/>
        <family val="2"/>
      </rPr>
      <t xml:space="preserve">重量下限（</t>
    </r>
    <r>
      <rPr>
        <b val="true"/>
        <sz val="10"/>
        <color rgb="FFFFFFFF"/>
        <rFont val="游ゴシック"/>
        <family val="0"/>
        <charset val="1"/>
      </rPr>
      <t xml:space="preserve">g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</si>
  <si>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WenQuanYi Zen Hei"/>
        <family val="2"/>
      </rPr>
      <t xml:space="preserve">重量上限（</t>
    </r>
    <r>
      <rPr>
        <b val="true"/>
        <sz val="10"/>
        <color rgb="FFFFFFFF"/>
        <rFont val="游ゴシック"/>
        <family val="0"/>
        <charset val="1"/>
      </rPr>
      <t xml:space="preserve">g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</si>
  <si>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sz val="10"/>
        <color rgb="FF595959"/>
        <rFont val="WenQuanYi Zen Hei"/>
        <family val="2"/>
      </rPr>
      <t xml:space="preserve">・重量は梱包後の重さ（</t>
    </r>
    <r>
      <rPr>
        <sz val="10"/>
        <color rgb="FF595959"/>
        <rFont val="游ゴシック"/>
        <family val="0"/>
        <charset val="1"/>
      </rPr>
      <t xml:space="preserve">g</t>
    </r>
    <r>
      <rPr>
        <sz val="10"/>
        <color rgb="FF595959"/>
        <rFont val="WenQuanYi Zen Hei"/>
        <family val="2"/>
      </rPr>
      <t xml:space="preserve">）。上限を超える重さは「利益計算」で「範囲外」と表示されます。行を増やす場合は利益計算の数式の範囲も広げてください。</t>
    </r>
  </si>
  <si>
    <r>
      <rPr>
        <sz val="10"/>
        <color rgb="FF595959"/>
        <rFont val="WenQuanYi Zen Hei"/>
        <family val="2"/>
      </rPr>
      <t xml:space="preserve">・出典：</t>
    </r>
    <r>
      <rPr>
        <sz val="10"/>
        <color rgb="FF595959"/>
        <rFont val="游ゴシック"/>
        <family val="0"/>
        <charset val="1"/>
      </rPr>
      <t xml:space="preserve">SpeedPAK Economy </t>
    </r>
    <r>
      <rPr>
        <sz val="10"/>
        <color rgb="FF595959"/>
        <rFont val="WenQuanYi Zen Hei"/>
        <family val="2"/>
      </rPr>
      <t xml:space="preserve">は「</t>
    </r>
    <r>
      <rPr>
        <sz val="10"/>
        <color rgb="FF595959"/>
        <rFont val="游ゴシック"/>
        <family val="0"/>
        <charset val="1"/>
      </rPr>
      <t xml:space="preserve">1,141</t>
    </r>
    <r>
      <rPr>
        <sz val="10"/>
        <color rgb="FF595959"/>
        <rFont val="WenQuanYi Zen Hei"/>
        <family val="2"/>
      </rPr>
      <t xml:space="preserve">円から」（ネットショップ担当者フォーラム </t>
    </r>
    <r>
      <rPr>
        <sz val="10"/>
        <color rgb="FF595959"/>
        <rFont val="游ゴシック"/>
        <family val="0"/>
        <charset val="1"/>
      </rPr>
      <t xml:space="preserve">2024</t>
    </r>
    <r>
      <rPr>
        <sz val="10"/>
        <color rgb="FF595959"/>
        <rFont val="WenQuanYi Zen Hei"/>
        <family val="2"/>
      </rPr>
      <t xml:space="preserve">年</t>
    </r>
    <r>
      <rPr>
        <sz val="10"/>
        <color rgb="FF595959"/>
        <rFont val="游ゴシック"/>
        <family val="0"/>
        <charset val="1"/>
      </rPr>
      <t xml:space="preserve">8</t>
    </r>
    <r>
      <rPr>
        <sz val="10"/>
        <color rgb="FF595959"/>
        <rFont val="WenQuanYi Zen Hei"/>
        <family val="2"/>
      </rPr>
      <t xml:space="preserve">月の記事）。それ以外の数値は仮置き。</t>
    </r>
  </si>
  <si>
    <r>
      <rPr>
        <b val="true"/>
        <sz val="14"/>
        <color rgb="FF000000"/>
        <rFont val="WenQuanYi Zen Hei"/>
        <family val="2"/>
      </rPr>
      <t xml:space="preserve">利益計算（</t>
    </r>
    <r>
      <rPr>
        <b val="true"/>
        <sz val="14"/>
        <color rgb="FF000000"/>
        <rFont val="游ゴシック"/>
        <family val="0"/>
        <charset val="1"/>
      </rPr>
      <t xml:space="preserve">1</t>
    </r>
    <r>
      <rPr>
        <b val="true"/>
        <sz val="14"/>
        <color rgb="FF000000"/>
        <rFont val="WenQuanYi Zen Hei"/>
        <family val="2"/>
      </rPr>
      <t xml:space="preserve">行 </t>
    </r>
    <r>
      <rPr>
        <b val="true"/>
        <sz val="14"/>
        <color rgb="FF000000"/>
        <rFont val="游ゴシック"/>
        <family val="0"/>
        <charset val="1"/>
      </rPr>
      <t xml:space="preserve">= 1</t>
    </r>
    <r>
      <rPr>
        <b val="true"/>
        <sz val="14"/>
        <color rgb="FF000000"/>
        <rFont val="WenQuanYi Zen Hei"/>
        <family val="2"/>
      </rPr>
      <t xml:space="preserve">商品）</t>
    </r>
  </si>
  <si>
    <r>
      <rPr>
        <sz val="10"/>
        <color rgb="FF595959"/>
        <rFont val="WenQuanYi Zen Hei"/>
        <family val="2"/>
      </rPr>
      <t xml:space="preserve">青字・黄色のセルを入力すると、手数料・送料・関税を引いた利益と判定が出ます。</t>
    </r>
    <r>
      <rPr>
        <sz val="10"/>
        <color rgb="FF595959"/>
        <rFont val="游ゴシック"/>
        <family val="0"/>
        <charset val="1"/>
      </rPr>
      <t xml:space="preserve">No.1 </t>
    </r>
    <r>
      <rPr>
        <sz val="10"/>
        <color rgb="FF595959"/>
        <rFont val="WenQuanYi Zen Hei"/>
        <family val="2"/>
      </rPr>
      <t xml:space="preserve">の行は例（ツイートの水筒：</t>
    </r>
    <r>
      <rPr>
        <sz val="10"/>
        <color rgb="FF595959"/>
        <rFont val="游ゴシック"/>
        <family val="0"/>
        <charset val="1"/>
      </rPr>
      <t xml:space="preserve">3,300</t>
    </r>
    <r>
      <rPr>
        <sz val="10"/>
        <color rgb="FF595959"/>
        <rFont val="WenQuanYi Zen Hei"/>
        <family val="2"/>
      </rPr>
      <t xml:space="preserve">円 → 約</t>
    </r>
    <r>
      <rPr>
        <sz val="10"/>
        <color rgb="FF595959"/>
        <rFont val="游ゴシック"/>
        <family val="0"/>
        <charset val="1"/>
      </rPr>
      <t xml:space="preserve">9,000</t>
    </r>
    <r>
      <rPr>
        <sz val="10"/>
        <color rgb="FF595959"/>
        <rFont val="WenQuanYi Zen Hei"/>
        <family val="2"/>
      </rPr>
      <t xml:space="preserve">円）。</t>
    </r>
  </si>
  <si>
    <t xml:space="preserve">◎ 出品候補の件数</t>
  </si>
  <si>
    <t xml:space="preserve">No</t>
  </si>
  <si>
    <t xml:space="preserve">商品名</t>
  </si>
  <si>
    <t xml:space="preserve">仕入れ先</t>
  </si>
  <si>
    <t xml:space="preserve">仕入れ値（円）</t>
  </si>
  <si>
    <t xml:space="preserve">仕入れ時の送料など（円）</t>
  </si>
  <si>
    <r>
      <rPr>
        <b val="true"/>
        <sz val="10"/>
        <color rgb="FFFFFFFF"/>
        <rFont val="WenQuanYi Zen Hei"/>
        <family val="2"/>
      </rPr>
      <t xml:space="preserve">販売価格（</t>
    </r>
    <r>
      <rPr>
        <b val="true"/>
        <sz val="10"/>
        <color rgb="FFFFFFFF"/>
        <rFont val="游ゴシック"/>
        <family val="0"/>
        <charset val="1"/>
      </rPr>
      <t xml:space="preserve">$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</si>
  <si>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WenQuanYi Zen Hei"/>
        <family val="2"/>
      </rPr>
      <t xml:space="preserve">買い手負担の送料（</t>
    </r>
    <r>
      <rPr>
        <b val="true"/>
        <sz val="10"/>
        <color rgb="FFFFFFFF"/>
        <rFont val="游ゴシック"/>
        <family val="0"/>
        <charset val="1"/>
      </rPr>
      <t xml:space="preserve">$</t>
    </r>
    <r>
      <rPr>
        <b val="true"/>
        <sz val="10"/>
        <color rgb="FFFFFFFF"/>
        <rFont val="WenQuanYi Zen Hei"/>
        <family val="2"/>
      </rPr>
      <t xml:space="preserve">）
送料無料なら</t>
    </r>
    <r>
      <rPr>
        <b val="true"/>
        <sz val="10"/>
        <color rgb="FFFFFFFF"/>
        <rFont val="游ゴシック"/>
        <family val="0"/>
        <charset val="1"/>
      </rPr>
      <t xml:space="preserve">0</t>
    </r>
  </si>
  <si>
    <t xml:space="preserve">発送先</t>
  </si>
  <si>
    <r>
      <rPr>
        <b val="true"/>
        <sz val="10"/>
        <color rgb="FFFFFFFF"/>
        <rFont val="WenQuanYi Zen Hei"/>
        <family val="2"/>
      </rPr>
      <t xml:space="preserve">梱包後の重量（</t>
    </r>
    <r>
      <rPr>
        <b val="true"/>
        <sz val="10"/>
        <color rgb="FFFFFFFF"/>
        <rFont val="游ゴシック"/>
        <family val="0"/>
        <charset val="1"/>
      </rPr>
      <t xml:space="preserve">g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</si>
  <si>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WenQuanYi Zen Hei"/>
        <family val="2"/>
      </rPr>
      <t xml:space="preserve">直近</t>
    </r>
    <r>
      <rPr>
        <b val="true"/>
        <sz val="10"/>
        <color rgb="FFFFFFFF"/>
        <rFont val="游ゴシック"/>
        <family val="0"/>
        <charset val="1"/>
      </rPr>
      <t xml:space="preserve">90</t>
    </r>
    <r>
      <rPr>
        <b val="true"/>
        <sz val="10"/>
        <color rgb="FFFFFFFF"/>
        <rFont val="WenQuanYi Zen Hei"/>
        <family val="2"/>
      </rPr>
      <t xml:space="preserve">日の販売数（件）</t>
    </r>
  </si>
  <si>
    <t xml:space="preserve">売れた理由タグ</t>
  </si>
  <si>
    <t xml:space="preserve">売上合計（円）</t>
  </si>
  <si>
    <r>
      <rPr>
        <b val="true"/>
        <sz val="10"/>
        <color rgb="FFFFFFFF"/>
        <rFont val="游ゴシック"/>
        <family val="0"/>
        <charset val="1"/>
      </rPr>
      <t xml:space="preserve">eBay</t>
    </r>
    <r>
      <rPr>
        <b val="true"/>
        <sz val="10"/>
        <color rgb="FFFFFFFF"/>
        <rFont val="WenQuanYi Zen Hei"/>
        <family val="2"/>
      </rPr>
      <t xml:space="preserve">手数料（円）</t>
    </r>
  </si>
  <si>
    <t xml:space="preserve">換金コスト（円）</t>
  </si>
  <si>
    <t xml:space="preserve">国際送料（円）</t>
  </si>
  <si>
    <t xml:space="preserve">関税など（円）</t>
  </si>
  <si>
    <t xml:space="preserve">梱包資材費（円）</t>
  </si>
  <si>
    <t xml:space="preserve">総コスト（円）</t>
  </si>
  <si>
    <t xml:space="preserve">利益（円）</t>
  </si>
  <si>
    <t xml:space="preserve">利益率</t>
  </si>
  <si>
    <r>
      <rPr>
        <b val="true"/>
        <sz val="10"/>
        <color rgb="FFFFFFFF"/>
        <rFont val="WenQuanYi Zen Hei"/>
        <family val="2"/>
      </rPr>
      <t xml:space="preserve">目標を満たす最低販売価格（</t>
    </r>
    <r>
      <rPr>
        <b val="true"/>
        <sz val="10"/>
        <color rgb="FFFFFFFF"/>
        <rFont val="游ゴシック"/>
        <family val="0"/>
        <charset val="1"/>
      </rPr>
      <t xml:space="preserve">$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</si>
  <si>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判定</t>
  </si>
  <si>
    <t xml:space="preserve">メモ</t>
  </si>
  <si>
    <t xml:space="preserve">（計算用）関税率</t>
  </si>
  <si>
    <t xml:space="preserve">（計算用）固定関税＋手数料（円）</t>
  </si>
  <si>
    <r>
      <rPr>
        <sz val="10"/>
        <color rgb="FF0000FF"/>
        <rFont val="WenQuanYi Zen Hei"/>
        <family val="2"/>
      </rPr>
      <t xml:space="preserve">水筒（ツイートの例：</t>
    </r>
    <r>
      <rPr>
        <sz val="10"/>
        <color rgb="FF0000FF"/>
        <rFont val="游ゴシック"/>
        <family val="0"/>
        <charset val="1"/>
      </rPr>
      <t xml:space="preserve">3,300</t>
    </r>
    <r>
      <rPr>
        <sz val="10"/>
        <color rgb="FF0000FF"/>
        <rFont val="WenQuanYi Zen Hei"/>
        <family val="2"/>
      </rPr>
      <t xml:space="preserve">円 → 約</t>
    </r>
    <r>
      <rPr>
        <sz val="10"/>
        <color rgb="FF0000FF"/>
        <rFont val="游ゴシック"/>
        <family val="0"/>
        <charset val="1"/>
      </rPr>
      <t xml:space="preserve">9,000</t>
    </r>
    <r>
      <rPr>
        <sz val="10"/>
        <color rgb="FF0000FF"/>
        <rFont val="WenQuanYi Zen Hei"/>
        <family val="2"/>
      </rPr>
      <t xml:space="preserve">円）</t>
    </r>
  </si>
  <si>
    <t xml:space="preserve">Amazon</t>
  </si>
  <si>
    <t xml:space="preserve">例の行。米国の関税と送料で利益が薄くなる。最低販売価格の列で、いくらなら合格かが分かる。</t>
  </si>
  <si>
    <r>
      <rPr>
        <b val="true"/>
        <sz val="14"/>
        <color rgb="FF000000"/>
        <rFont val="WenQuanYi Zen Hei"/>
        <family val="2"/>
      </rPr>
      <t xml:space="preserve">① 売れているショップを見る（</t>
    </r>
    <r>
      <rPr>
        <b val="true"/>
        <sz val="14"/>
        <color rgb="FF000000"/>
        <rFont val="游ゴシック"/>
        <family val="0"/>
        <charset val="1"/>
      </rPr>
      <t xml:space="preserve">3</t>
    </r>
    <r>
      <rPr>
        <b val="true"/>
        <sz val="14"/>
        <color rgb="FF000000"/>
        <rFont val="WenQuanYi Zen Hei"/>
        <family val="2"/>
      </rPr>
      <t xml:space="preserve">〜</t>
    </r>
    <r>
      <rPr>
        <b val="true"/>
        <sz val="14"/>
        <color rgb="FF000000"/>
        <rFont val="游ゴシック"/>
        <family val="0"/>
        <charset val="1"/>
      </rPr>
      <t xml:space="preserve">5</t>
    </r>
    <r>
      <rPr>
        <b val="true"/>
        <sz val="14"/>
        <color rgb="FF000000"/>
        <rFont val="WenQuanYi Zen Hei"/>
        <family val="2"/>
      </rPr>
      <t xml:space="preserve">店）</t>
    </r>
  </si>
  <si>
    <r>
      <rPr>
        <sz val="10"/>
        <color rgb="FF595959"/>
        <rFont val="游ゴシック"/>
        <family val="0"/>
        <charset val="1"/>
      </rPr>
      <t xml:space="preserve">Product Research</t>
    </r>
    <r>
      <rPr>
        <sz val="10"/>
        <color rgb="FF595959"/>
        <rFont val="WenQuanYi Zen Hei"/>
        <family val="2"/>
      </rPr>
      <t xml:space="preserve">（</t>
    </r>
    <r>
      <rPr>
        <sz val="10"/>
        <color rgb="FF595959"/>
        <rFont val="游ゴシック"/>
        <family val="0"/>
        <charset val="1"/>
      </rPr>
      <t xml:space="preserve">Terapeak</t>
    </r>
    <r>
      <rPr>
        <sz val="10"/>
        <color rgb="FF595959"/>
        <rFont val="WenQuanYi Zen Hei"/>
        <family val="2"/>
      </rPr>
      <t xml:space="preserve">）で「売れたもの（</t>
    </r>
    <r>
      <rPr>
        <sz val="10"/>
        <color rgb="FF595959"/>
        <rFont val="游ゴシック"/>
        <family val="0"/>
        <charset val="1"/>
      </rPr>
      <t xml:space="preserve">Sold</t>
    </r>
    <r>
      <rPr>
        <sz val="10"/>
        <color rgb="FF595959"/>
        <rFont val="WenQuanYi Zen Hei"/>
        <family val="2"/>
      </rPr>
      <t xml:space="preserve">）」「発送元が日本」に絞り、販売数の多い日本人セラーを記録します。</t>
    </r>
  </si>
  <si>
    <r>
      <rPr>
        <b val="true"/>
        <sz val="10"/>
        <color rgb="FFFFFFFF"/>
        <rFont val="WenQuanYi Zen Hei"/>
        <family val="2"/>
      </rPr>
      <t xml:space="preserve">ショップ名（セラー</t>
    </r>
    <r>
      <rPr>
        <b val="true"/>
        <sz val="10"/>
        <color rgb="FFFFFFFF"/>
        <rFont val="游ゴシック"/>
        <family val="0"/>
        <charset val="1"/>
      </rPr>
      <t xml:space="preserve">ID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</si>
  <si>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URL</t>
  </si>
  <si>
    <t xml:space="preserve">評価数</t>
  </si>
  <si>
    <t xml:space="preserve">主なカテゴリー</t>
  </si>
  <si>
    <t xml:space="preserve">売れ筋上位の商品</t>
  </si>
  <si>
    <t xml:space="preserve">何度も売れている商品</t>
  </si>
  <si>
    <t xml:space="preserve">似た商品を何種類並べているか</t>
  </si>
  <si>
    <t xml:space="preserve">最近増えた商品</t>
  </si>
  <si>
    <t xml:space="preserve">気づき・メモ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</si>
  <si>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游ゴシック"/>
        <family val="0"/>
        <charset val="1"/>
      </rPr>
      <t xml:space="preserve">japan-goods-xxxx</t>
    </r>
  </si>
  <si>
    <t xml:space="preserve">https://www.ebay.com/str/xxxx</t>
  </si>
  <si>
    <t xml:space="preserve">キッチン用品・キャラクター雑貨</t>
  </si>
  <si>
    <t xml:space="preserve">キャラ水筒、弁当箱、箸セット</t>
  </si>
  <si>
    <t xml:space="preserve">キャラ水筒（色違いで複数回）</t>
  </si>
  <si>
    <r>
      <rPr>
        <sz val="10"/>
        <color rgb="FF0000FF"/>
        <rFont val="WenQuanYi Zen Hei"/>
        <family val="2"/>
      </rPr>
      <t xml:space="preserve">水筒だけで色・容量違い </t>
    </r>
    <r>
      <rPr>
        <sz val="10"/>
        <color rgb="FF0000FF"/>
        <rFont val="游ゴシック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種類</t>
    </r>
  </si>
  <si>
    <t xml:space="preserve">季節限定デザインの弁当箱</t>
  </si>
  <si>
    <t xml:space="preserve">キャラの日用品を幅広く並べている。容量違いもそれぞれ売れている。</t>
  </si>
  <si>
    <r>
      <rPr>
        <b val="true"/>
        <sz val="11"/>
        <color rgb="FF000000"/>
        <rFont val="WenQuanYi Zen Hei"/>
        <family val="2"/>
      </rPr>
      <t xml:space="preserve">共通点のまとめ（</t>
    </r>
    <r>
      <rPr>
        <b val="true"/>
        <sz val="11"/>
        <color rgb="FF000000"/>
        <rFont val="游ゴシック"/>
        <family val="0"/>
        <charset val="1"/>
      </rPr>
      <t xml:space="preserve">3</t>
    </r>
    <r>
      <rPr>
        <b val="true"/>
        <sz val="11"/>
        <color rgb="FF000000"/>
        <rFont val="WenQuanYi Zen Hei"/>
        <family val="2"/>
      </rPr>
      <t xml:space="preserve">〜</t>
    </r>
    <r>
      <rPr>
        <b val="true"/>
        <sz val="11"/>
        <color rgb="FF000000"/>
        <rFont val="游ゴシック"/>
        <family val="0"/>
        <charset val="1"/>
      </rPr>
      <t xml:space="preserve">5</t>
    </r>
    <r>
      <rPr>
        <b val="true"/>
        <sz val="11"/>
        <color rgb="FF000000"/>
        <rFont val="WenQuanYi Zen Hei"/>
        <family val="2"/>
      </rPr>
      <t xml:space="preserve">店見たら書く）</t>
    </r>
  </si>
  <si>
    <t xml:space="preserve">どのカテゴリーが共通して売れているか</t>
  </si>
  <si>
    <t xml:space="preserve">どの価格帯が多いか</t>
  </si>
  <si>
    <t xml:space="preserve">共通する「売れた理由」は何か</t>
  </si>
  <si>
    <t xml:space="preserve">次に候補を広げる元の商品（→「候補展開」へ）</t>
  </si>
  <si>
    <t xml:space="preserve">② 横・縦・周辺に広げる → ③ 売れた理由で絞る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</si>
  <si>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つの売れ筋から</t>
    </r>
    <r>
      <rPr>
        <sz val="10"/>
        <color rgb="FF595959"/>
        <rFont val="游ゴシック"/>
        <family val="0"/>
        <charset val="1"/>
      </rPr>
      <t xml:space="preserve">20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游ゴシック"/>
        <family val="0"/>
        <charset val="1"/>
      </rPr>
      <t xml:space="preserve">30</t>
    </r>
    <r>
      <rPr>
        <sz val="10"/>
        <color rgb="FF595959"/>
        <rFont val="WenQuanYi Zen Hei"/>
        <family val="2"/>
      </rPr>
      <t xml:space="preserve">件の候補を出し、元の商品と「売れた理由」が同じものだけ残します。残ったものを「利益計算」に転記します。</t>
    </r>
  </si>
  <si>
    <t xml:space="preserve">元の商品（売れている商品）</t>
  </si>
  <si>
    <t xml:space="preserve">元の商品が売れた理由</t>
  </si>
  <si>
    <t xml:space="preserve">広げ方</t>
  </si>
  <si>
    <t xml:space="preserve">広げた種類</t>
  </si>
  <si>
    <t xml:space="preserve">候補の商品名</t>
  </si>
  <si>
    <t xml:space="preserve">候補も同じ理由を満たす？</t>
  </si>
  <si>
    <t xml:space="preserve">利益計算に転記</t>
  </si>
  <si>
    <t xml:space="preserve">広げ方の早見表</t>
  </si>
  <si>
    <r>
      <rPr>
        <sz val="10"/>
        <color rgb="FF0000FF"/>
        <rFont val="WenQuanYi Zen Hei"/>
        <family val="2"/>
      </rPr>
      <t xml:space="preserve">キャラクター水筒 </t>
    </r>
    <r>
      <rPr>
        <sz val="10"/>
        <color rgb="FF0000FF"/>
        <rFont val="游ゴシック"/>
        <family val="0"/>
        <charset val="1"/>
      </rPr>
      <t xml:space="preserve">480ml</t>
    </r>
  </si>
  <si>
    <t xml:space="preserve">横</t>
  </si>
  <si>
    <t xml:space="preserve">容量違い</t>
  </si>
  <si>
    <r>
      <rPr>
        <sz val="10"/>
        <color rgb="FF0000FF"/>
        <rFont val="WenQuanYi Zen Hei"/>
        <family val="2"/>
      </rPr>
      <t xml:space="preserve">同じキャラの水筒 </t>
    </r>
    <r>
      <rPr>
        <sz val="10"/>
        <color rgb="FF0000FF"/>
        <rFont val="游ゴシック"/>
        <family val="0"/>
        <charset val="1"/>
      </rPr>
      <t xml:space="preserve">800ml</t>
    </r>
  </si>
  <si>
    <t xml:space="preserve">○</t>
  </si>
  <si>
    <t xml:space="preserve">横（同じ商品の別バリエーション）</t>
  </si>
  <si>
    <t xml:space="preserve">縦（同ブランド・同シリーズ）</t>
  </si>
  <si>
    <t xml:space="preserve">周辺（一緒に使うもの）</t>
  </si>
  <si>
    <t xml:space="preserve">縦</t>
  </si>
  <si>
    <t xml:space="preserve">同シリーズ</t>
  </si>
  <si>
    <t xml:space="preserve">同じキャラの弁当箱</t>
  </si>
  <si>
    <t xml:space="preserve">色違い</t>
  </si>
  <si>
    <t xml:space="preserve">同じブランドの別商品</t>
  </si>
  <si>
    <t xml:space="preserve">一緒に使う商品</t>
  </si>
  <si>
    <t xml:space="preserve">周辺</t>
  </si>
  <si>
    <t xml:space="preserve">交換品・消耗品</t>
  </si>
  <si>
    <t xml:space="preserve">この水筒の替えパッキン（キャラなし）</t>
  </si>
  <si>
    <t xml:space="preserve">×</t>
  </si>
  <si>
    <t xml:space="preserve">キャラ人気が理由なので、キャラなしの部品は優先度を下げる</t>
  </si>
  <si>
    <t xml:space="preserve">サイズ違い</t>
  </si>
  <si>
    <t xml:space="preserve">上位モデル</t>
  </si>
  <si>
    <t xml:space="preserve">交換品</t>
  </si>
  <si>
    <t xml:space="preserve">下位モデル</t>
  </si>
  <si>
    <t xml:space="preserve">消耗品</t>
  </si>
  <si>
    <t xml:space="preserve">個数違い</t>
  </si>
  <si>
    <t xml:space="preserve">旧モデル</t>
  </si>
  <si>
    <t xml:space="preserve">詰め替え</t>
  </si>
  <si>
    <t xml:space="preserve">セット違い</t>
  </si>
  <si>
    <t xml:space="preserve">新モデル</t>
  </si>
  <si>
    <t xml:space="preserve">ケース</t>
  </si>
  <si>
    <t xml:space="preserve">デザイン違い</t>
  </si>
  <si>
    <t xml:space="preserve">カバー</t>
  </si>
  <si>
    <t xml:space="preserve">キャラクター違い</t>
  </si>
  <si>
    <t xml:space="preserve">同じ価格帯</t>
  </si>
  <si>
    <t xml:space="preserve">アクセサリー</t>
  </si>
  <si>
    <t xml:space="preserve">季節違い</t>
  </si>
  <si>
    <t xml:space="preserve">高価格帯・低価格帯</t>
  </si>
  <si>
    <t xml:space="preserve">収納用品</t>
  </si>
  <si>
    <t xml:space="preserve">メンテナンス用品</t>
  </si>
  <si>
    <t xml:space="preserve">ギフト需要の商品</t>
  </si>
  <si>
    <t xml:space="preserve">実績記録（毎日つける → 月ごとの時給が出る）</t>
  </si>
  <si>
    <t xml:space="preserve">作業時間も必ず記録します。右の表に月ごとの合計と時給が自動で出ます。</t>
  </si>
  <si>
    <t xml:space="preserve">日付</t>
  </si>
  <si>
    <r>
      <rPr>
        <b val="true"/>
        <sz val="10"/>
        <color rgb="FFFFFFFF"/>
        <rFont val="WenQuanYi Zen Hei"/>
        <family val="2"/>
      </rPr>
      <t xml:space="preserve">作業時間（</t>
    </r>
    <r>
      <rPr>
        <b val="true"/>
        <sz val="10"/>
        <color rgb="FFFFFFFF"/>
        <rFont val="游ゴシック"/>
        <family val="0"/>
        <charset val="1"/>
      </rPr>
      <t xml:space="preserve">h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</si>
  <si>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出品数</t>
  </si>
  <si>
    <t xml:space="preserve">販売数</t>
  </si>
  <si>
    <t xml:space="preserve">確定利益（円）</t>
  </si>
  <si>
    <t xml:space="preserve">月</t>
  </si>
  <si>
    <r>
      <rPr>
        <b val="true"/>
        <sz val="10"/>
        <color rgb="FFFFFFFF"/>
        <rFont val="WenQuanYi Zen Hei"/>
        <family val="2"/>
      </rPr>
      <t xml:space="preserve">時給（円</t>
    </r>
    <r>
      <rPr>
        <b val="true"/>
        <sz val="10"/>
        <color rgb="FFFFFFFF"/>
        <rFont val="游ゴシック"/>
        <family val="0"/>
        <charset val="1"/>
      </rPr>
      <t xml:space="preserve">/h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</si>
  <si>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計画の目安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</si>
  <si>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游ゴシック"/>
        <family val="0"/>
        <charset val="1"/>
      </rPr>
      <t xml:space="preserve">eBay</t>
    </r>
    <r>
      <rPr>
        <sz val="10"/>
        <color rgb="FF0000FF"/>
        <rFont val="WenQuanYi Zen Hei"/>
        <family val="2"/>
      </rPr>
      <t xml:space="preserve">アカウント作成・古物商許可の書類準備</t>
    </r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</si>
  <si>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ヶ月目：準備・不用品で最初の売上・評価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游ゴシック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件</t>
    </r>
  </si>
  <si>
    <r>
      <rPr>
        <sz val="10"/>
        <color rgb="FF595959"/>
        <rFont val="游ゴシック"/>
        <family val="0"/>
        <charset val="1"/>
      </rPr>
      <t xml:space="preserve">2</t>
    </r>
    <r>
      <rPr>
        <sz val="10"/>
        <color rgb="FF595959"/>
        <rFont val="WenQuanYi Zen Hei"/>
        <family val="2"/>
      </rPr>
      <t xml:space="preserve">ヶ月目</t>
    </r>
  </si>
  <si>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ヶ月目：月</t>
    </r>
    <r>
      <rPr>
        <sz val="10"/>
        <color rgb="FF595959"/>
        <rFont val="游ゴシック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游ゴシック"/>
        <family val="0"/>
        <charset val="1"/>
      </rPr>
      <t xml:space="preserve">20</t>
    </r>
    <r>
      <rPr>
        <sz val="10"/>
        <color rgb="FF595959"/>
        <rFont val="WenQuanYi Zen Hei"/>
        <family val="2"/>
      </rPr>
      <t xml:space="preserve">件販売・月の利益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游ゴシック"/>
        <family val="0"/>
        <charset val="1"/>
      </rPr>
      <t xml:space="preserve">2</t>
    </r>
    <r>
      <rPr>
        <sz val="10"/>
        <color rgb="FF595959"/>
        <rFont val="WenQuanYi Zen Hei"/>
        <family val="2"/>
      </rPr>
      <t xml:space="preserve">万円</t>
    </r>
  </si>
  <si>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ヶ月目</t>
    </r>
  </si>
  <si>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ヶ月目</t>
    </r>
  </si>
  <si>
    <r>
      <rPr>
        <sz val="10"/>
        <color rgb="FF595959"/>
        <rFont val="游ゴシック"/>
        <family val="0"/>
        <charset val="1"/>
      </rPr>
      <t xml:space="preserve">6</t>
    </r>
    <r>
      <rPr>
        <sz val="10"/>
        <color rgb="FF595959"/>
        <rFont val="WenQuanYi Zen Hei"/>
        <family val="2"/>
      </rPr>
      <t xml:space="preserve">ヶ月目：出品</t>
    </r>
    <r>
      <rPr>
        <sz val="10"/>
        <color rgb="FF595959"/>
        <rFont val="游ゴシック"/>
        <family val="0"/>
        <charset val="1"/>
      </rPr>
      <t xml:space="preserve">150</t>
    </r>
    <r>
      <rPr>
        <sz val="10"/>
        <color rgb="FF595959"/>
        <rFont val="WenQuanYi Zen Hei"/>
        <family val="2"/>
      </rPr>
      <t xml:space="preserve">〜</t>
    </r>
    <r>
      <rPr>
        <sz val="10"/>
        <color rgb="FF595959"/>
        <rFont val="游ゴシック"/>
        <family val="0"/>
        <charset val="1"/>
      </rPr>
      <t xml:space="preserve">200</t>
    </r>
    <r>
      <rPr>
        <sz val="10"/>
        <color rgb="FF595959"/>
        <rFont val="WenQuanYi Zen Hei"/>
        <family val="2"/>
      </rPr>
      <t xml:space="preserve">品・月</t>
    </r>
    <r>
      <rPr>
        <sz val="10"/>
        <color rgb="FF595959"/>
        <rFont val="游ゴシック"/>
        <family val="0"/>
        <charset val="1"/>
      </rPr>
      <t xml:space="preserve">30</t>
    </r>
    <r>
      <rPr>
        <sz val="10"/>
        <color rgb="FF595959"/>
        <rFont val="WenQuanYi Zen Hei"/>
        <family val="2"/>
      </rPr>
      <t xml:space="preserve">件・月の利益</t>
    </r>
    <r>
      <rPr>
        <sz val="10"/>
        <color rgb="FF595959"/>
        <rFont val="游ゴシック"/>
        <family val="0"/>
        <charset val="1"/>
      </rPr>
      <t xml:space="preserve">4.5</t>
    </r>
    <r>
      <rPr>
        <sz val="10"/>
        <color rgb="FF595959"/>
        <rFont val="WenQuanYi Zen Hei"/>
        <family val="2"/>
      </rPr>
      <t xml:space="preserve">万円</t>
    </r>
  </si>
  <si>
    <r>
      <rPr>
        <sz val="10"/>
        <color rgb="FF595959"/>
        <rFont val="游ゴシック"/>
        <family val="0"/>
        <charset val="1"/>
      </rPr>
      <t xml:space="preserve">7</t>
    </r>
    <r>
      <rPr>
        <sz val="10"/>
        <color rgb="FF595959"/>
        <rFont val="WenQuanYi Zen Hei"/>
        <family val="2"/>
      </rPr>
      <t xml:space="preserve">ヶ月目</t>
    </r>
  </si>
  <si>
    <t xml:space="preserve">合計</t>
  </si>
  <si>
    <r>
      <rPr>
        <sz val="10"/>
        <color rgb="FF595959"/>
        <rFont val="游ゴシック"/>
        <family val="0"/>
        <charset val="1"/>
      </rPr>
      <t xml:space="preserve">※ 1</t>
    </r>
    <r>
      <rPr>
        <sz val="10"/>
        <color rgb="FF595959"/>
        <rFont val="WenQuanYi Zen Hei"/>
        <family val="2"/>
      </rPr>
      <t xml:space="preserve">ヶ月目の月は </t>
    </r>
    <r>
      <rPr>
        <sz val="10"/>
        <color rgb="FF595959"/>
        <rFont val="游ゴシック"/>
        <family val="0"/>
        <charset val="1"/>
      </rPr>
      <t xml:space="preserve">H5 </t>
    </r>
    <r>
      <rPr>
        <sz val="10"/>
        <color rgb="FF595959"/>
        <rFont val="WenQuanYi Zen Hei"/>
        <family val="2"/>
      </rPr>
      <t xml:space="preserve">を変えると、以降の月が自動でずれます。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</si>
</sst>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0.00%"/>
    <numFmt numFmtId="167" formatCode="\$#,##0.00"/>
    <numFmt numFmtId="168" formatCode="#,##0"/>
    <numFmt numFmtId="169" formatCode="0.0%"/>
    <numFmt numFmtId="170" formatCode="#,##0\件"/>
    <numFmt numFmtId="171" formatCode="#,##0;[RED]\-#,##0;\-"/>
    <numFmt numFmtId="172" formatCode="\$#,##0.00;[RED]&quot;-$&quot;#,##0.00;\-"/>
    <numFmt numFmtId="173" formatCode="0.0%;[RED]\-0.0%;\-"/>
    <numFmt numFmtId="174" formatCode="yyyy/mm/dd"/>
    <numFmt numFmtId="175" formatCode="0.0"/>
    <numFmt numFmtId="176" formatCode="yyyy\年m\月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游ゴシック"/>
      <family val="0"/>
      <charset val="1"/>
    </font>
    <font>
      <b val="true"/>
      <sz val="16"/>
      <color rgb="FF000000"/>
      <name val="WenQuanYi Zen Hei"/>
      <family val="2"/>
    </font>
    <font>
      <b val="true"/>
      <sz val="12"/>
      <color rgb="FF000000"/>
      <name val="WenQuanYi Zen Hei"/>
      <family val="2"/>
    </font>
    <font>
      <sz val="10"/>
      <color rgb="FF0000FF"/>
      <name val="WenQuanYi Zen Hei"/>
      <family val="2"/>
    </font>
    <font>
      <sz val="10"/>
      <color rgb="FF000000"/>
      <name val="WenQuanYi Zen Hei"/>
      <family val="2"/>
    </font>
    <font>
      <sz val="10"/>
      <color rgb="FF808080"/>
      <name val="WenQuanYi Zen Hei"/>
      <family val="2"/>
    </font>
    <font>
      <sz val="10"/>
      <color rgb="FF000000"/>
      <name val="游ゴシック"/>
      <family val="0"/>
      <charset val="1"/>
    </font>
    <font>
      <b val="true"/>
      <sz val="14"/>
      <color rgb="FF000000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游ゴシック"/>
      <family val="0"/>
      <charset val="1"/>
    </font>
    <font>
      <sz val="10"/>
      <color rgb="FF808080"/>
      <name val="游ゴシック"/>
      <family val="0"/>
      <charset val="1"/>
    </font>
    <font>
      <b val="true"/>
      <sz val="11"/>
      <color rgb="FF000000"/>
      <name val="WenQuanYi Zen Hei"/>
      <family val="2"/>
    </font>
    <font>
      <b val="true"/>
      <sz val="10"/>
      <color rgb="FF000000"/>
      <name val="游ゴシック"/>
      <family val="0"/>
      <charset val="1"/>
    </font>
    <font>
      <b val="true"/>
      <sz val="14"/>
      <color rgb="FF000000"/>
      <name val="游ゴシック"/>
      <family val="0"/>
      <charset val="1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b val="true"/>
      <sz val="10"/>
      <color rgb="FFFFFFFF"/>
      <name val="游ゴシック"/>
      <family val="0"/>
      <charset val="1"/>
    </font>
    <font>
      <b val="true"/>
      <sz val="10"/>
      <color rgb="FF000000"/>
      <name val="WenQuanYi Zen Hei"/>
      <family val="2"/>
    </font>
    <font>
      <b val="true"/>
      <sz val="11"/>
      <color rgb="FF000000"/>
      <name val="游ゴシック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20.8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6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B9" s="6" t="s">
        <v>6</v>
      </c>
    </row>
    <row r="10" customFormat="false" ht="15" hidden="false" customHeight="false" outlineLevel="0" collapsed="false">
      <c r="B10" s="6" t="s">
        <v>7</v>
      </c>
    </row>
    <row r="11" customFormat="false" ht="15" hidden="false" customHeight="false" outlineLevel="0" collapsed="false">
      <c r="B11" s="6" t="s">
        <v>8</v>
      </c>
    </row>
    <row r="12" customFormat="false" ht="15" hidden="false" customHeight="false" outlineLevel="0" collapsed="false">
      <c r="B12" s="6" t="s">
        <v>9</v>
      </c>
    </row>
    <row r="13" customFormat="false" ht="15" hidden="false" customHeight="false" outlineLevel="0" collapsed="false">
      <c r="B13" s="6" t="s">
        <v>10</v>
      </c>
    </row>
    <row r="14" customFormat="false" ht="15" hidden="false" customHeight="false" outlineLevel="0" collapsed="false">
      <c r="B14" s="7" t="s">
        <v>11</v>
      </c>
    </row>
    <row r="15" customFormat="false" ht="15" hidden="false" customHeight="false" outlineLevel="0" collapsed="false">
      <c r="B15" s="6" t="s">
        <v>12</v>
      </c>
    </row>
    <row r="16" customFormat="false" ht="15" hidden="false" customHeight="false" outlineLevel="0" collapsed="false">
      <c r="B16" s="7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B18" s="7" t="s">
        <v>14</v>
      </c>
    </row>
    <row r="19" customFormat="false" ht="15" hidden="false" customHeight="false" outlineLevel="0" collapsed="false">
      <c r="B19" s="7" t="s">
        <v>15</v>
      </c>
    </row>
    <row r="20" customFormat="false" ht="15" hidden="false" customHeight="false" outlineLevel="0" collapsed="false">
      <c r="B20" s="6" t="s">
        <v>16</v>
      </c>
    </row>
    <row r="21" customFormat="false" ht="15" hidden="false" customHeight="false" outlineLevel="0" collapsed="false">
      <c r="B21" s="7"/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B23" s="7" t="s">
        <v>18</v>
      </c>
    </row>
    <row r="24" customFormat="false" ht="15" hidden="false" customHeight="false" outlineLevel="0" collapsed="false">
      <c r="B24" s="7" t="s">
        <v>19</v>
      </c>
    </row>
    <row r="25" customFormat="false" ht="26.85" hidden="false" customHeight="false" outlineLevel="0" collapsed="false">
      <c r="B25" s="7" t="s">
        <v>20</v>
      </c>
    </row>
    <row r="26" customFormat="false" ht="15" hidden="false" customHeight="false" outlineLevel="0" collapsed="false">
      <c r="B26" s="7" t="s">
        <v>21</v>
      </c>
    </row>
    <row r="27" customFormat="false" ht="15" hidden="false" customHeight="false" outlineLevel="0" collapsed="false">
      <c r="B27" s="7" t="s">
        <v>22</v>
      </c>
    </row>
    <row r="28" customFormat="false" ht="15" hidden="false" customHeight="false" outlineLevel="0" collapsed="false">
      <c r="B28" s="7"/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B30" s="6" t="s">
        <v>24</v>
      </c>
    </row>
    <row r="31" customFormat="false" ht="15" hidden="false" customHeight="false" outlineLevel="0" collapsed="false">
      <c r="B31" s="6" t="s">
        <v>25</v>
      </c>
    </row>
    <row r="32" customFormat="false" ht="15" hidden="false" customHeight="false" outlineLevel="0" collapsed="false">
      <c r="B32" s="6" t="s">
        <v>26</v>
      </c>
    </row>
    <row r="33" customFormat="false" ht="15" hidden="false" customHeight="false" outlineLevel="0" collapsed="false">
      <c r="B33" s="6" t="s">
        <v>27</v>
      </c>
    </row>
    <row r="34" customFormat="false" ht="15" hidden="false" customHeight="false" outlineLevel="0" collapsed="false">
      <c r="B34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8" t="s">
        <v>29</v>
      </c>
    </row>
    <row r="2" customFormat="false" ht="15" hidden="false" customHeight="false" outlineLevel="0" collapsed="false">
      <c r="A2" s="9" t="s">
        <v>30</v>
      </c>
    </row>
    <row r="3" customFormat="false" ht="36" hidden="false" customHeight="true" outlineLevel="0" collapsed="false">
      <c r="A3" s="10" t="s">
        <v>31</v>
      </c>
      <c r="B3" s="10"/>
      <c r="C3" s="10" t="s">
        <v>32</v>
      </c>
      <c r="D3" s="10" t="s">
        <v>33</v>
      </c>
      <c r="E3" s="10" t="s">
        <v>34</v>
      </c>
      <c r="F3" s="10"/>
    </row>
    <row r="4" customFormat="false" ht="19.5" hidden="false" customHeight="true" outlineLevel="0" collapsed="false">
      <c r="A4" s="11" t="s">
        <v>35</v>
      </c>
      <c r="B4" s="11"/>
      <c r="C4" s="12" t="n">
        <v>150</v>
      </c>
      <c r="D4" s="13" t="s">
        <v>36</v>
      </c>
      <c r="E4" s="14" t="s">
        <v>37</v>
      </c>
      <c r="F4" s="14"/>
    </row>
    <row r="5" customFormat="false" ht="19.5" hidden="false" customHeight="true" outlineLevel="0" collapsed="false">
      <c r="A5" s="11" t="s">
        <v>38</v>
      </c>
      <c r="B5" s="11"/>
      <c r="C5" s="12" t="n">
        <v>165</v>
      </c>
      <c r="D5" s="13" t="s">
        <v>36</v>
      </c>
      <c r="E5" s="14" t="s">
        <v>39</v>
      </c>
      <c r="F5" s="14"/>
    </row>
    <row r="6" customFormat="false" ht="43.5" hidden="false" customHeight="true" outlineLevel="0" collapsed="false">
      <c r="A6" s="15" t="s">
        <v>40</v>
      </c>
      <c r="B6" s="15"/>
      <c r="C6" s="16" t="n">
        <v>0.1325</v>
      </c>
      <c r="D6" s="17" t="s">
        <v>41</v>
      </c>
      <c r="E6" s="14" t="s">
        <v>42</v>
      </c>
      <c r="F6" s="14"/>
    </row>
    <row r="7" customFormat="false" ht="30" hidden="false" customHeight="true" outlineLevel="0" collapsed="false">
      <c r="A7" s="15" t="s">
        <v>43</v>
      </c>
      <c r="B7" s="15"/>
      <c r="C7" s="16" t="n">
        <v>0.0165</v>
      </c>
      <c r="D7" s="17" t="s">
        <v>41</v>
      </c>
      <c r="E7" s="18" t="s">
        <v>44</v>
      </c>
      <c r="F7" s="18"/>
    </row>
    <row r="8" customFormat="false" ht="19.5" hidden="false" customHeight="true" outlineLevel="0" collapsed="false">
      <c r="A8" s="15" t="s">
        <v>45</v>
      </c>
      <c r="B8" s="15"/>
      <c r="C8" s="19" t="n">
        <v>0.4</v>
      </c>
      <c r="D8" s="17" t="s">
        <v>46</v>
      </c>
      <c r="E8" s="18" t="s">
        <v>47</v>
      </c>
      <c r="F8" s="18"/>
    </row>
    <row r="9" customFormat="false" ht="19.5" hidden="false" customHeight="true" outlineLevel="0" collapsed="false">
      <c r="A9" s="11" t="s">
        <v>48</v>
      </c>
      <c r="B9" s="11"/>
      <c r="C9" s="16" t="n">
        <v>0</v>
      </c>
      <c r="D9" s="17" t="s">
        <v>41</v>
      </c>
      <c r="E9" s="14" t="s">
        <v>49</v>
      </c>
      <c r="F9" s="14"/>
    </row>
    <row r="10" customFormat="false" ht="19.5" hidden="false" customHeight="true" outlineLevel="0" collapsed="false">
      <c r="A10" s="11" t="s">
        <v>50</v>
      </c>
      <c r="B10" s="11"/>
      <c r="C10" s="16" t="n">
        <v>0.02</v>
      </c>
      <c r="D10" s="17" t="s">
        <v>41</v>
      </c>
      <c r="E10" s="14" t="s">
        <v>51</v>
      </c>
      <c r="F10" s="14"/>
    </row>
    <row r="11" customFormat="false" ht="19.5" hidden="false" customHeight="true" outlineLevel="0" collapsed="false">
      <c r="A11" s="11" t="s">
        <v>52</v>
      </c>
      <c r="B11" s="11"/>
      <c r="C11" s="20" t="n">
        <v>100</v>
      </c>
      <c r="D11" s="13" t="s">
        <v>36</v>
      </c>
      <c r="E11" s="14" t="s">
        <v>53</v>
      </c>
      <c r="F11" s="14"/>
    </row>
    <row r="12" customFormat="false" ht="19.5" hidden="false" customHeight="true" outlineLevel="0" collapsed="false">
      <c r="A12" s="11" t="s">
        <v>54</v>
      </c>
      <c r="B12" s="11"/>
      <c r="C12" s="21" t="n">
        <v>0.2</v>
      </c>
      <c r="D12" s="17" t="s">
        <v>41</v>
      </c>
      <c r="E12" s="14" t="s">
        <v>55</v>
      </c>
      <c r="F12" s="14"/>
    </row>
    <row r="13" customFormat="false" ht="19.5" hidden="false" customHeight="true" outlineLevel="0" collapsed="false">
      <c r="A13" s="11" t="s">
        <v>56</v>
      </c>
      <c r="B13" s="11"/>
      <c r="C13" s="20" t="n">
        <v>1000</v>
      </c>
      <c r="D13" s="13" t="s">
        <v>36</v>
      </c>
      <c r="E13" s="14" t="s">
        <v>57</v>
      </c>
      <c r="F13" s="14"/>
    </row>
    <row r="14" customFormat="false" ht="19.5" hidden="false" customHeight="true" outlineLevel="0" collapsed="false">
      <c r="A14" s="11" t="s">
        <v>58</v>
      </c>
      <c r="B14" s="11"/>
      <c r="C14" s="20" t="n">
        <v>3</v>
      </c>
      <c r="D14" s="13" t="s">
        <v>59</v>
      </c>
      <c r="E14" s="18" t="s">
        <v>60</v>
      </c>
      <c r="F14" s="18"/>
    </row>
    <row r="15" customFormat="false" ht="19.5" hidden="false" customHeight="true" outlineLevel="0" collapsed="false">
      <c r="A15" s="22" t="s">
        <v>61</v>
      </c>
      <c r="B15" s="22"/>
      <c r="C15" s="23" t="n">
        <f aca="false">(1-($C$6+$C$7+$C$9))*(1-$C$10)</f>
        <v>0.83398</v>
      </c>
      <c r="E15" s="22" t="s">
        <v>62</v>
      </c>
      <c r="F15" s="22"/>
    </row>
    <row r="16" customFormat="false" ht="19.5" hidden="false" customHeight="true" outlineLevel="0" collapsed="false">
      <c r="A16" s="22" t="s">
        <v>63</v>
      </c>
      <c r="B16" s="22"/>
      <c r="C16" s="23" t="n">
        <f aca="false">$C$15-$C$12</f>
        <v>0.63398</v>
      </c>
      <c r="E16" s="22" t="s">
        <v>62</v>
      </c>
      <c r="F16" s="22"/>
    </row>
    <row r="18" customFormat="false" ht="15" hidden="false" customHeight="false" outlineLevel="0" collapsed="false">
      <c r="A18" s="24" t="s">
        <v>64</v>
      </c>
    </row>
    <row r="19" customFormat="false" ht="36" hidden="false" customHeight="true" outlineLevel="0" collapsed="false">
      <c r="A19" s="10" t="s">
        <v>65</v>
      </c>
      <c r="B19" s="10" t="s">
        <v>66</v>
      </c>
      <c r="C19" s="10" t="s">
        <v>67</v>
      </c>
      <c r="D19" s="10" t="s">
        <v>68</v>
      </c>
      <c r="E19" s="10" t="s">
        <v>69</v>
      </c>
      <c r="F19" s="10" t="s">
        <v>70</v>
      </c>
    </row>
    <row r="20" customFormat="false" ht="42" hidden="false" customHeight="true" outlineLevel="0" collapsed="false">
      <c r="A20" s="25" t="s">
        <v>71</v>
      </c>
      <c r="B20" s="4" t="s">
        <v>72</v>
      </c>
      <c r="C20" s="21" t="n">
        <v>0.15</v>
      </c>
      <c r="D20" s="20" t="n">
        <v>0</v>
      </c>
      <c r="E20" s="20" t="n">
        <v>0</v>
      </c>
      <c r="F20" s="26" t="s">
        <v>73</v>
      </c>
    </row>
    <row r="21" customFormat="false" ht="42" hidden="false" customHeight="true" outlineLevel="0" collapsed="false">
      <c r="A21" s="25" t="s">
        <v>74</v>
      </c>
      <c r="B21" s="4" t="s">
        <v>75</v>
      </c>
      <c r="C21" s="21" t="n">
        <v>0</v>
      </c>
      <c r="D21" s="20" t="n">
        <v>0</v>
      </c>
      <c r="E21" s="20" t="n">
        <v>0</v>
      </c>
      <c r="F21" s="27" t="s">
        <v>76</v>
      </c>
    </row>
    <row r="22" customFormat="false" ht="42" hidden="false" customHeight="true" outlineLevel="0" collapsed="false">
      <c r="A22" s="25" t="s">
        <v>77</v>
      </c>
      <c r="B22" s="4" t="s">
        <v>78</v>
      </c>
      <c r="C22" s="21" t="n">
        <v>0</v>
      </c>
      <c r="D22" s="28" t="n">
        <f aca="false">設定!$C$5*3</f>
        <v>495</v>
      </c>
      <c r="E22" s="20" t="n">
        <v>0</v>
      </c>
      <c r="F22" s="27" t="s">
        <v>79</v>
      </c>
    </row>
    <row r="23" customFormat="false" ht="42" hidden="false" customHeight="true" outlineLevel="0" collapsed="false">
      <c r="A23" s="25" t="s">
        <v>80</v>
      </c>
      <c r="B23" s="4" t="s">
        <v>81</v>
      </c>
      <c r="C23" s="21" t="n">
        <v>0</v>
      </c>
      <c r="D23" s="20" t="n">
        <v>0</v>
      </c>
      <c r="E23" s="20" t="n">
        <v>0</v>
      </c>
      <c r="F23" s="27" t="s">
        <v>82</v>
      </c>
    </row>
    <row r="25" customFormat="false" ht="15" hidden="false" customHeight="false" outlineLevel="0" collapsed="false">
      <c r="A25" s="24" t="s">
        <v>83</v>
      </c>
    </row>
    <row r="26" customFormat="false" ht="15" hidden="false" customHeight="false" outlineLevel="0" collapsed="false">
      <c r="A26" s="3" t="s">
        <v>84</v>
      </c>
      <c r="B26" s="3"/>
    </row>
    <row r="27" customFormat="false" ht="15" hidden="false" customHeight="false" outlineLevel="0" collapsed="false">
      <c r="A27" s="3" t="s">
        <v>85</v>
      </c>
      <c r="B27" s="3"/>
    </row>
    <row r="28" customFormat="false" ht="15" hidden="false" customHeight="false" outlineLevel="0" collapsed="false">
      <c r="A28" s="3" t="s">
        <v>86</v>
      </c>
      <c r="B28" s="3"/>
    </row>
    <row r="29" customFormat="false" ht="15" hidden="false" customHeight="false" outlineLevel="0" collapsed="false">
      <c r="A29" s="3" t="s">
        <v>87</v>
      </c>
      <c r="B29" s="3"/>
    </row>
    <row r="30" customFormat="false" ht="15" hidden="false" customHeight="false" outlineLevel="0" collapsed="false">
      <c r="A30" s="3" t="s">
        <v>88</v>
      </c>
      <c r="B30" s="3"/>
    </row>
    <row r="31" customFormat="false" ht="15" hidden="false" customHeight="false" outlineLevel="0" collapsed="false">
      <c r="A31" s="3" t="s">
        <v>89</v>
      </c>
      <c r="B31" s="3"/>
    </row>
    <row r="32" customFormat="false" ht="15" hidden="false" customHeight="false" outlineLevel="0" collapsed="false">
      <c r="A32" s="3" t="s">
        <v>90</v>
      </c>
      <c r="B32" s="3"/>
    </row>
    <row r="33" customFormat="false" ht="15" hidden="false" customHeight="false" outlineLevel="0" collapsed="false">
      <c r="A33" s="3" t="s">
        <v>91</v>
      </c>
      <c r="B33" s="3"/>
    </row>
    <row r="34" customFormat="false" ht="15" hidden="false" customHeight="false" outlineLevel="0" collapsed="false">
      <c r="A34" s="3" t="s">
        <v>92</v>
      </c>
      <c r="B34" s="3"/>
    </row>
    <row r="35" customFormat="false" ht="15" hidden="false" customHeight="false" outlineLevel="0" collapsed="false">
      <c r="A35" s="3" t="s">
        <v>93</v>
      </c>
      <c r="B35" s="3"/>
    </row>
  </sheetData>
  <mergeCells count="38">
    <mergeCell ref="A3:B3"/>
    <mergeCell ref="E3:F3"/>
    <mergeCell ref="A4:B4"/>
    <mergeCell ref="E4:F4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6" min="3" style="0" width="12"/>
  </cols>
  <sheetData>
    <row r="1" customFormat="false" ht="19.4" hidden="false" customHeight="false" outlineLevel="0" collapsed="false">
      <c r="A1" s="8" t="s">
        <v>94</v>
      </c>
    </row>
    <row r="2" customFormat="false" ht="15" hidden="false" customHeight="false" outlineLevel="0" collapsed="false">
      <c r="A2" s="29" t="s">
        <v>95</v>
      </c>
    </row>
    <row r="4" customFormat="false" ht="36" hidden="false" customHeight="true" outlineLevel="0" collapsed="false">
      <c r="A4" s="10" t="s">
        <v>96</v>
      </c>
      <c r="B4" s="10" t="s">
        <v>97</v>
      </c>
      <c r="C4" s="30" t="s">
        <v>71</v>
      </c>
      <c r="D4" s="30" t="s">
        <v>74</v>
      </c>
      <c r="E4" s="30" t="s">
        <v>77</v>
      </c>
      <c r="F4" s="30" t="s">
        <v>80</v>
      </c>
    </row>
    <row r="5" customFormat="false" ht="15" hidden="false" customHeight="false" outlineLevel="0" collapsed="false">
      <c r="A5" s="31" t="n">
        <v>0</v>
      </c>
      <c r="B5" s="20" t="n">
        <v>100</v>
      </c>
      <c r="C5" s="20" t="n">
        <v>1150</v>
      </c>
      <c r="D5" s="20" t="n">
        <v>1150</v>
      </c>
      <c r="E5" s="20" t="n">
        <v>1150</v>
      </c>
      <c r="F5" s="20" t="n">
        <v>1150</v>
      </c>
    </row>
    <row r="6" customFormat="false" ht="15" hidden="false" customHeight="false" outlineLevel="0" collapsed="false">
      <c r="A6" s="31" t="n">
        <f aca="false">B5+1</f>
        <v>101</v>
      </c>
      <c r="B6" s="20" t="n">
        <v>200</v>
      </c>
      <c r="C6" s="20" t="n">
        <v>1300</v>
      </c>
      <c r="D6" s="20" t="n">
        <v>1300</v>
      </c>
      <c r="E6" s="20" t="n">
        <v>1300</v>
      </c>
      <c r="F6" s="20" t="n">
        <v>1300</v>
      </c>
    </row>
    <row r="7" customFormat="false" ht="15" hidden="false" customHeight="false" outlineLevel="0" collapsed="false">
      <c r="A7" s="31" t="n">
        <f aca="false">B6+1</f>
        <v>201</v>
      </c>
      <c r="B7" s="20" t="n">
        <v>300</v>
      </c>
      <c r="C7" s="20" t="n">
        <v>1450</v>
      </c>
      <c r="D7" s="20" t="n">
        <v>1450</v>
      </c>
      <c r="E7" s="20" t="n">
        <v>1450</v>
      </c>
      <c r="F7" s="20" t="n">
        <v>1450</v>
      </c>
    </row>
    <row r="8" customFormat="false" ht="15" hidden="false" customHeight="false" outlineLevel="0" collapsed="false">
      <c r="A8" s="31" t="n">
        <f aca="false">B7+1</f>
        <v>301</v>
      </c>
      <c r="B8" s="20" t="n">
        <v>400</v>
      </c>
      <c r="C8" s="20" t="n">
        <v>1600</v>
      </c>
      <c r="D8" s="20" t="n">
        <v>1600</v>
      </c>
      <c r="E8" s="20" t="n">
        <v>1600</v>
      </c>
      <c r="F8" s="20" t="n">
        <v>1600</v>
      </c>
    </row>
    <row r="9" customFormat="false" ht="15" hidden="false" customHeight="false" outlineLevel="0" collapsed="false">
      <c r="A9" s="31" t="n">
        <f aca="false">B8+1</f>
        <v>401</v>
      </c>
      <c r="B9" s="20" t="n">
        <v>500</v>
      </c>
      <c r="C9" s="20" t="n">
        <v>1750</v>
      </c>
      <c r="D9" s="20" t="n">
        <v>1750</v>
      </c>
      <c r="E9" s="20" t="n">
        <v>1750</v>
      </c>
      <c r="F9" s="20" t="n">
        <v>1750</v>
      </c>
    </row>
    <row r="10" customFormat="false" ht="15" hidden="false" customHeight="false" outlineLevel="0" collapsed="false">
      <c r="A10" s="31" t="n">
        <f aca="false">B9+1</f>
        <v>501</v>
      </c>
      <c r="B10" s="20" t="n">
        <v>600</v>
      </c>
      <c r="C10" s="20" t="n">
        <v>1900</v>
      </c>
      <c r="D10" s="20" t="n">
        <v>1900</v>
      </c>
      <c r="E10" s="20" t="n">
        <v>1900</v>
      </c>
      <c r="F10" s="20" t="n">
        <v>1900</v>
      </c>
    </row>
    <row r="11" customFormat="false" ht="15" hidden="false" customHeight="false" outlineLevel="0" collapsed="false">
      <c r="A11" s="31" t="n">
        <f aca="false">B10+1</f>
        <v>601</v>
      </c>
      <c r="B11" s="20" t="n">
        <v>700</v>
      </c>
      <c r="C11" s="20" t="n">
        <v>2050</v>
      </c>
      <c r="D11" s="20" t="n">
        <v>2050</v>
      </c>
      <c r="E11" s="20" t="n">
        <v>2050</v>
      </c>
      <c r="F11" s="20" t="n">
        <v>2050</v>
      </c>
    </row>
    <row r="12" customFormat="false" ht="15" hidden="false" customHeight="false" outlineLevel="0" collapsed="false">
      <c r="A12" s="31" t="n">
        <f aca="false">B11+1</f>
        <v>701</v>
      </c>
      <c r="B12" s="20" t="n">
        <v>800</v>
      </c>
      <c r="C12" s="20" t="n">
        <v>2200</v>
      </c>
      <c r="D12" s="20" t="n">
        <v>2200</v>
      </c>
      <c r="E12" s="20" t="n">
        <v>2200</v>
      </c>
      <c r="F12" s="20" t="n">
        <v>2200</v>
      </c>
    </row>
    <row r="13" customFormat="false" ht="15" hidden="false" customHeight="false" outlineLevel="0" collapsed="false">
      <c r="A13" s="31" t="n">
        <f aca="false">B12+1</f>
        <v>801</v>
      </c>
      <c r="B13" s="20" t="n">
        <v>900</v>
      </c>
      <c r="C13" s="20" t="n">
        <v>2350</v>
      </c>
      <c r="D13" s="20" t="n">
        <v>2350</v>
      </c>
      <c r="E13" s="20" t="n">
        <v>2350</v>
      </c>
      <c r="F13" s="20" t="n">
        <v>2350</v>
      </c>
    </row>
    <row r="14" customFormat="false" ht="15" hidden="false" customHeight="false" outlineLevel="0" collapsed="false">
      <c r="A14" s="31" t="n">
        <f aca="false">B13+1</f>
        <v>901</v>
      </c>
      <c r="B14" s="20" t="n">
        <v>1000</v>
      </c>
      <c r="C14" s="20" t="n">
        <v>2500</v>
      </c>
      <c r="D14" s="20" t="n">
        <v>2500</v>
      </c>
      <c r="E14" s="20" t="n">
        <v>2500</v>
      </c>
      <c r="F14" s="20" t="n">
        <v>2500</v>
      </c>
    </row>
    <row r="15" customFormat="false" ht="15" hidden="false" customHeight="false" outlineLevel="0" collapsed="false">
      <c r="A15" s="31" t="n">
        <f aca="false">B14+1</f>
        <v>1001</v>
      </c>
      <c r="B15" s="20" t="n">
        <v>1250</v>
      </c>
      <c r="C15" s="20" t="n">
        <v>2900</v>
      </c>
      <c r="D15" s="20" t="n">
        <v>2900</v>
      </c>
      <c r="E15" s="20" t="n">
        <v>2900</v>
      </c>
      <c r="F15" s="20" t="n">
        <v>2900</v>
      </c>
    </row>
    <row r="16" customFormat="false" ht="15" hidden="false" customHeight="false" outlineLevel="0" collapsed="false">
      <c r="A16" s="31" t="n">
        <f aca="false">B15+1</f>
        <v>1251</v>
      </c>
      <c r="B16" s="20" t="n">
        <v>1500</v>
      </c>
      <c r="C16" s="20" t="n">
        <v>3300</v>
      </c>
      <c r="D16" s="20" t="n">
        <v>3300</v>
      </c>
      <c r="E16" s="20" t="n">
        <v>3300</v>
      </c>
      <c r="F16" s="20" t="n">
        <v>3300</v>
      </c>
    </row>
    <row r="17" customFormat="false" ht="15" hidden="false" customHeight="false" outlineLevel="0" collapsed="false">
      <c r="A17" s="31" t="n">
        <f aca="false">B16+1</f>
        <v>1501</v>
      </c>
      <c r="B17" s="20" t="n">
        <v>1750</v>
      </c>
      <c r="C17" s="20" t="n">
        <v>3700</v>
      </c>
      <c r="D17" s="20" t="n">
        <v>3700</v>
      </c>
      <c r="E17" s="20" t="n">
        <v>3700</v>
      </c>
      <c r="F17" s="20" t="n">
        <v>3700</v>
      </c>
    </row>
    <row r="18" customFormat="false" ht="15" hidden="false" customHeight="false" outlineLevel="0" collapsed="false">
      <c r="A18" s="31" t="n">
        <f aca="false">B17+1</f>
        <v>1751</v>
      </c>
      <c r="B18" s="20" t="n">
        <v>2000</v>
      </c>
      <c r="C18" s="20" t="n">
        <v>4100</v>
      </c>
      <c r="D18" s="20" t="n">
        <v>4100</v>
      </c>
      <c r="E18" s="20" t="n">
        <v>4100</v>
      </c>
      <c r="F18" s="20" t="n">
        <v>4100</v>
      </c>
    </row>
    <row r="20" customFormat="false" ht="15" hidden="false" customHeight="false" outlineLevel="0" collapsed="false">
      <c r="A20" s="9" t="s">
        <v>98</v>
      </c>
    </row>
    <row r="21" customFormat="false" ht="15" hidden="false" customHeight="false" outlineLevel="0" collapsed="false">
      <c r="A21" s="9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3" min="12" style="0" width="12"/>
    <col collapsed="false" customWidth="true" hidden="false" outlineLevel="0" max="17" min="14" style="0" width="11"/>
    <col collapsed="false" customWidth="true" hidden="false" outlineLevel="0" max="19" min="18" style="0" width="12"/>
    <col collapsed="false" customWidth="true" hidden="false" outlineLevel="0" max="20" min="20" style="0" width="9"/>
    <col collapsed="false" customWidth="true" hidden="false" outlineLevel="0" max="21" min="21" style="0" width="14"/>
    <col collapsed="false" customWidth="true" hidden="false" outlineLevel="0" max="22" min="22" style="0" width="24"/>
    <col collapsed="false" customWidth="true" hidden="false" outlineLevel="0" max="23" min="23" style="0" width="40"/>
    <col collapsed="false" customWidth="true" hidden="false" outlineLevel="0" max="24" min="24" style="0" width="11"/>
    <col collapsed="false" customWidth="true" hidden="false" outlineLevel="0" max="25" min="25" style="0" width="14"/>
  </cols>
  <sheetData>
    <row r="1" customFormat="false" ht="19.4" hidden="false" customHeight="false" outlineLevel="0" collapsed="false">
      <c r="A1" s="8" t="s">
        <v>100</v>
      </c>
    </row>
    <row r="2" customFormat="false" ht="15" hidden="false" customHeight="false" outlineLevel="0" collapsed="false">
      <c r="A2" s="9" t="s">
        <v>101</v>
      </c>
    </row>
    <row r="3" customFormat="false" ht="15" hidden="false" customHeight="false" outlineLevel="0" collapsed="false">
      <c r="B3" s="32" t="s">
        <v>102</v>
      </c>
      <c r="C3" s="33" t="n">
        <f aca="false">COUNTIF(V5:V104,"◎*")</f>
        <v>0</v>
      </c>
    </row>
    <row r="4" customFormat="false" ht="48" hidden="false" customHeight="true" outlineLevel="0" collapsed="false">
      <c r="A4" s="30" t="s">
        <v>103</v>
      </c>
      <c r="B4" s="10" t="s">
        <v>104</v>
      </c>
      <c r="C4" s="10" t="s">
        <v>105</v>
      </c>
      <c r="D4" s="10" t="s">
        <v>106</v>
      </c>
      <c r="E4" s="10" t="s">
        <v>107</v>
      </c>
      <c r="F4" s="10" t="s">
        <v>108</v>
      </c>
      <c r="G4" s="10" t="s">
        <v>109</v>
      </c>
      <c r="H4" s="10" t="s">
        <v>110</v>
      </c>
      <c r="I4" s="10" t="s">
        <v>111</v>
      </c>
      <c r="J4" s="10" t="s">
        <v>112</v>
      </c>
      <c r="K4" s="10" t="s">
        <v>113</v>
      </c>
      <c r="L4" s="10" t="s">
        <v>114</v>
      </c>
      <c r="M4" s="30" t="s">
        <v>115</v>
      </c>
      <c r="N4" s="10" t="s">
        <v>116</v>
      </c>
      <c r="O4" s="10" t="s">
        <v>117</v>
      </c>
      <c r="P4" s="10" t="s">
        <v>118</v>
      </c>
      <c r="Q4" s="10" t="s">
        <v>119</v>
      </c>
      <c r="R4" s="10" t="s">
        <v>120</v>
      </c>
      <c r="S4" s="10" t="s">
        <v>121</v>
      </c>
      <c r="T4" s="10" t="s">
        <v>122</v>
      </c>
      <c r="U4" s="10" t="s">
        <v>123</v>
      </c>
      <c r="V4" s="10" t="s">
        <v>124</v>
      </c>
      <c r="W4" s="10" t="s">
        <v>125</v>
      </c>
      <c r="X4" s="10" t="s">
        <v>126</v>
      </c>
      <c r="Y4" s="10" t="s">
        <v>127</v>
      </c>
    </row>
    <row r="5" customFormat="false" ht="15" hidden="false" customHeight="false" outlineLevel="0" collapsed="false">
      <c r="A5" s="34" t="n">
        <v>1</v>
      </c>
      <c r="B5" s="3" t="s">
        <v>128</v>
      </c>
      <c r="C5" s="35" t="s">
        <v>129</v>
      </c>
      <c r="D5" s="36" t="n">
        <v>3300</v>
      </c>
      <c r="E5" s="36" t="n">
        <v>0</v>
      </c>
      <c r="F5" s="37" t="n">
        <v>60</v>
      </c>
      <c r="G5" s="37" t="n">
        <v>0</v>
      </c>
      <c r="H5" s="35" t="s">
        <v>71</v>
      </c>
      <c r="I5" s="36" t="n">
        <v>450</v>
      </c>
      <c r="J5" s="36" t="n">
        <v>5</v>
      </c>
      <c r="K5" s="3" t="s">
        <v>84</v>
      </c>
      <c r="L5" s="38" t="n">
        <f aca="false">IF(AND($D5&lt;&gt;"",$F5&lt;&gt;"",$H5&lt;&gt;"",$I5&lt;&gt;""),($F5+N($G5))*設定!$C$4,"")</f>
        <v>9000</v>
      </c>
      <c r="M5" s="38" t="n">
        <f aca="false">IF($L5="","",(($F5+N($G5))*(設定!$C$6+設定!$C$7+設定!$C$9)+設定!$C$8)*設定!$C$4)</f>
        <v>1401</v>
      </c>
      <c r="N5" s="38" t="n">
        <f aca="false">IF($L5="","",($L5-$M5)*設定!$C$10)</f>
        <v>151.98</v>
      </c>
      <c r="O5" s="38" t="n">
        <f aca="false">IF($L5="","",IF($I5&gt;MAX(送料表!$B$5:$B$18),"範囲外",INDEX(送料表!$C$5:$F$18,MATCH($I5,送料表!$A$5:$A$18,1),MATCH($H5,送料表!$C$4:$F$4,0))))</f>
        <v>1750</v>
      </c>
      <c r="P5" s="38" t="n">
        <f aca="false">IF($L5="","",$F5*設定!$C$4*$X5+$Y5)</f>
        <v>1350</v>
      </c>
      <c r="Q5" s="38" t="n">
        <f aca="false">IF($L5="","",設定!$C$11)</f>
        <v>100</v>
      </c>
      <c r="R5" s="38" t="n">
        <f aca="false">IF(OR($L5="",NOT(ISNUMBER($O5))),"",N($D5)+N($E5)+$M5+$N5+$O5+$P5+$Q5)</f>
        <v>8052.98</v>
      </c>
      <c r="S5" s="39" t="n">
        <f aca="false">IF($R5="","",$L5-$R5)</f>
        <v>947.02</v>
      </c>
      <c r="T5" s="40" t="n">
        <f aca="false">IF(OR($S5="",N($L5)=0),"",$S5/$L5)</f>
        <v>0.105224444444445</v>
      </c>
      <c r="U5" s="41" t="n">
        <f aca="false">IF(OR($L5="",NOT(ISNUMBER($O5))),"",IF(設定!$C$16-$X5&lt;=0,"設定を確認",MAX((設定!$C$8*設定!$C$4*(1-設定!$C$10)+$Y5+N($D5)+N($E5)+$O5+$Q5-N($G5)*設定!$C$4*設定!$C$16)/(設定!$C$4*(設定!$C$16-$X5)),(設定!$C$8*設定!$C$4*(1-設定!$C$10)+$Y5+N($D5)+N($E5)+$O5+$Q5+設定!$C$13-N($G5)*設定!$C$4*設定!$C$15)/(設定!$C$4*(設定!$C$15-$X5)))))</f>
        <v>71.7495213300825</v>
      </c>
      <c r="V5" s="42" t="str">
        <f aca="false">IF($L5="","",IF(NOT(ISNUMBER($O5)),"要確認：重量が送料表の範囲外",IF(AND($T5&gt;=設定!$C$12,$S5&gt;=設定!$C$13,N($J5)&gt;=設定!$C$14),"◎ 出品候補",IF(AND($T5&gt;=設定!$C$12,$S5&gt;=設定!$C$13),"△ 利益OK・販売実績が不足","× 見送り"))))</f>
        <v>× 見送り</v>
      </c>
      <c r="W5" s="3" t="s">
        <v>130</v>
      </c>
      <c r="X5" s="43" t="n">
        <f aca="false">IF($H5="","",INDEX(設定!$C$20:$C$23,MATCH($H5,設定!$A$20:$A$23,0)))</f>
        <v>0.15</v>
      </c>
      <c r="Y5" s="44" t="n">
        <f aca="false">IF($H5="","",INDEX(設定!$D$20:$D$23,MATCH($H5,設定!$A$20:$A$23,0))+INDEX(設定!$E$20:$E$23,MATCH($H5,設定!$A$20:$A$23,0)))</f>
        <v>0</v>
      </c>
    </row>
    <row r="6" customFormat="false" ht="15" hidden="false" customHeight="false" outlineLevel="0" collapsed="false">
      <c r="A6" s="34" t="n">
        <v>2</v>
      </c>
      <c r="B6" s="3"/>
      <c r="C6" s="3"/>
      <c r="D6" s="36"/>
      <c r="E6" s="36"/>
      <c r="F6" s="37"/>
      <c r="G6" s="37"/>
      <c r="H6" s="35"/>
      <c r="I6" s="36"/>
      <c r="J6" s="36"/>
      <c r="K6" s="3"/>
      <c r="L6" s="38" t="str">
        <f aca="false">IF(AND($D6&lt;&gt;"",$F6&lt;&gt;"",$H6&lt;&gt;"",$I6&lt;&gt;""),($F6+N($G6))*設定!$C$4,"")</f>
        <v/>
      </c>
      <c r="M6" s="38" t="str">
        <f aca="false">IF($L6="","",(($F6+N($G6))*(設定!$C$6+設定!$C$7+設定!$C$9)+設定!$C$8)*設定!$C$4)</f>
        <v/>
      </c>
      <c r="N6" s="38" t="str">
        <f aca="false">IF($L6="","",($L6-$M6)*設定!$C$10)</f>
        <v/>
      </c>
      <c r="O6" s="38" t="str">
        <f aca="false">IF($L6="","",IF($I6&gt;MAX(送料表!$B$5:$B$18),"範囲外",INDEX(送料表!$C$5:$F$18,MATCH($I6,送料表!$A$5:$A$18,1),MATCH($H6,送料表!$C$4:$F$4,0))))</f>
        <v/>
      </c>
      <c r="P6" s="38" t="str">
        <f aca="false">IF($L6="","",$F6*設定!$C$4*$X6+$Y6)</f>
        <v/>
      </c>
      <c r="Q6" s="38" t="str">
        <f aca="false">IF($L6="","",設定!$C$11)</f>
        <v/>
      </c>
      <c r="R6" s="38" t="str">
        <f aca="false">IF(OR($L6="",NOT(ISNUMBER($O6))),"",N($D6)+N($E6)+$M6+$N6+$O6+$P6+$Q6)</f>
        <v/>
      </c>
      <c r="S6" s="39" t="str">
        <f aca="false">IF($R6="","",$L6-$R6)</f>
        <v/>
      </c>
      <c r="T6" s="40" t="str">
        <f aca="false">IF(OR($S6="",N($L6)=0),"",$S6/$L6)</f>
        <v/>
      </c>
      <c r="U6" s="41" t="str">
        <f aca="false">IF(OR($L6="",NOT(ISNUMBER($O6))),"",IF(設定!$C$16-$X6&lt;=0,"設定を確認",MAX((設定!$C$8*設定!$C$4*(1-設定!$C$10)+$Y6+N($D6)+N($E6)+$O6+$Q6-N($G6)*設定!$C$4*設定!$C$16)/(設定!$C$4*(設定!$C$16-$X6)),(設定!$C$8*設定!$C$4*(1-設定!$C$10)+$Y6+N($D6)+N($E6)+$O6+$Q6+設定!$C$13-N($G6)*設定!$C$4*設定!$C$15)/(設定!$C$4*(設定!$C$15-$X6)))))</f>
        <v/>
      </c>
      <c r="V6" s="42" t="str">
        <f aca="false">IF($L6="","",IF(NOT(ISNUMBER($O6)),"要確認：重量が送料表の範囲外",IF(AND($T6&gt;=設定!$C$12,$S6&gt;=設定!$C$13,N($J6)&gt;=設定!$C$14),"◎ 出品候補",IF(AND($T6&gt;=設定!$C$12,$S6&gt;=設定!$C$13),"△ 利益OK・販売実績が不足","× 見送り"))))</f>
        <v/>
      </c>
      <c r="W6" s="3"/>
      <c r="X6" s="43" t="str">
        <f aca="false">IF($H6="","",INDEX(設定!$C$20:$C$23,MATCH($H6,設定!$A$20:$A$23,0)))</f>
        <v/>
      </c>
      <c r="Y6" s="44" t="str">
        <f aca="false">IF($H6="","",INDEX(設定!$D$20:$D$23,MATCH($H6,設定!$A$20:$A$23,0))+INDEX(設定!$E$20:$E$23,MATCH($H6,設定!$A$20:$A$23,0)))</f>
        <v/>
      </c>
    </row>
    <row r="7" customFormat="false" ht="15" hidden="false" customHeight="false" outlineLevel="0" collapsed="false">
      <c r="A7" s="34" t="n">
        <v>3</v>
      </c>
      <c r="B7" s="3"/>
      <c r="C7" s="3"/>
      <c r="D7" s="36"/>
      <c r="E7" s="36"/>
      <c r="F7" s="37"/>
      <c r="G7" s="37"/>
      <c r="H7" s="35"/>
      <c r="I7" s="36"/>
      <c r="J7" s="36"/>
      <c r="K7" s="3"/>
      <c r="L7" s="38" t="str">
        <f aca="false">IF(AND($D7&lt;&gt;"",$F7&lt;&gt;"",$H7&lt;&gt;"",$I7&lt;&gt;""),($F7+N($G7))*設定!$C$4,"")</f>
        <v/>
      </c>
      <c r="M7" s="38" t="str">
        <f aca="false">IF($L7="","",(($F7+N($G7))*(設定!$C$6+設定!$C$7+設定!$C$9)+設定!$C$8)*設定!$C$4)</f>
        <v/>
      </c>
      <c r="N7" s="38" t="str">
        <f aca="false">IF($L7="","",($L7-$M7)*設定!$C$10)</f>
        <v/>
      </c>
      <c r="O7" s="38" t="str">
        <f aca="false">IF($L7="","",IF($I7&gt;MAX(送料表!$B$5:$B$18),"範囲外",INDEX(送料表!$C$5:$F$18,MATCH($I7,送料表!$A$5:$A$18,1),MATCH($H7,送料表!$C$4:$F$4,0))))</f>
        <v/>
      </c>
      <c r="P7" s="38" t="str">
        <f aca="false">IF($L7="","",$F7*設定!$C$4*$X7+$Y7)</f>
        <v/>
      </c>
      <c r="Q7" s="38" t="str">
        <f aca="false">IF($L7="","",設定!$C$11)</f>
        <v/>
      </c>
      <c r="R7" s="38" t="str">
        <f aca="false">IF(OR($L7="",NOT(ISNUMBER($O7))),"",N($D7)+N($E7)+$M7+$N7+$O7+$P7+$Q7)</f>
        <v/>
      </c>
      <c r="S7" s="39" t="str">
        <f aca="false">IF($R7="","",$L7-$R7)</f>
        <v/>
      </c>
      <c r="T7" s="40" t="str">
        <f aca="false">IF(OR($S7="",N($L7)=0),"",$S7/$L7)</f>
        <v/>
      </c>
      <c r="U7" s="41" t="str">
        <f aca="false">IF(OR($L7="",NOT(ISNUMBER($O7))),"",IF(設定!$C$16-$X7&lt;=0,"設定を確認",MAX((設定!$C$8*設定!$C$4*(1-設定!$C$10)+$Y7+N($D7)+N($E7)+$O7+$Q7-N($G7)*設定!$C$4*設定!$C$16)/(設定!$C$4*(設定!$C$16-$X7)),(設定!$C$8*設定!$C$4*(1-設定!$C$10)+$Y7+N($D7)+N($E7)+$O7+$Q7+設定!$C$13-N($G7)*設定!$C$4*設定!$C$15)/(設定!$C$4*(設定!$C$15-$X7)))))</f>
        <v/>
      </c>
      <c r="V7" s="42" t="str">
        <f aca="false">IF($L7="","",IF(NOT(ISNUMBER($O7)),"要確認：重量が送料表の範囲外",IF(AND($T7&gt;=設定!$C$12,$S7&gt;=設定!$C$13,N($J7)&gt;=設定!$C$14),"◎ 出品候補",IF(AND($T7&gt;=設定!$C$12,$S7&gt;=設定!$C$13),"△ 利益OK・販売実績が不足","× 見送り"))))</f>
        <v/>
      </c>
      <c r="W7" s="3"/>
      <c r="X7" s="43" t="str">
        <f aca="false">IF($H7="","",INDEX(設定!$C$20:$C$23,MATCH($H7,設定!$A$20:$A$23,0)))</f>
        <v/>
      </c>
      <c r="Y7" s="44" t="str">
        <f aca="false">IF($H7="","",INDEX(設定!$D$20:$D$23,MATCH($H7,設定!$A$20:$A$23,0))+INDEX(設定!$E$20:$E$23,MATCH($H7,設定!$A$20:$A$23,0)))</f>
        <v/>
      </c>
    </row>
    <row r="8" customFormat="false" ht="15" hidden="false" customHeight="false" outlineLevel="0" collapsed="false">
      <c r="A8" s="34" t="n">
        <v>4</v>
      </c>
      <c r="B8" s="3"/>
      <c r="C8" s="3"/>
      <c r="D8" s="36"/>
      <c r="E8" s="36"/>
      <c r="F8" s="37"/>
      <c r="G8" s="37"/>
      <c r="H8" s="35"/>
      <c r="I8" s="36"/>
      <c r="J8" s="36"/>
      <c r="K8" s="3"/>
      <c r="L8" s="38" t="str">
        <f aca="false">IF(AND($D8&lt;&gt;"",$F8&lt;&gt;"",$H8&lt;&gt;"",$I8&lt;&gt;""),($F8+N($G8))*設定!$C$4,"")</f>
        <v/>
      </c>
      <c r="M8" s="38" t="str">
        <f aca="false">IF($L8="","",(($F8+N($G8))*(設定!$C$6+設定!$C$7+設定!$C$9)+設定!$C$8)*設定!$C$4)</f>
        <v/>
      </c>
      <c r="N8" s="38" t="str">
        <f aca="false">IF($L8="","",($L8-$M8)*設定!$C$10)</f>
        <v/>
      </c>
      <c r="O8" s="38" t="str">
        <f aca="false">IF($L8="","",IF($I8&gt;MAX(送料表!$B$5:$B$18),"範囲外",INDEX(送料表!$C$5:$F$18,MATCH($I8,送料表!$A$5:$A$18,1),MATCH($H8,送料表!$C$4:$F$4,0))))</f>
        <v/>
      </c>
      <c r="P8" s="38" t="str">
        <f aca="false">IF($L8="","",$F8*設定!$C$4*$X8+$Y8)</f>
        <v/>
      </c>
      <c r="Q8" s="38" t="str">
        <f aca="false">IF($L8="","",設定!$C$11)</f>
        <v/>
      </c>
      <c r="R8" s="38" t="str">
        <f aca="false">IF(OR($L8="",NOT(ISNUMBER($O8))),"",N($D8)+N($E8)+$M8+$N8+$O8+$P8+$Q8)</f>
        <v/>
      </c>
      <c r="S8" s="39" t="str">
        <f aca="false">IF($R8="","",$L8-$R8)</f>
        <v/>
      </c>
      <c r="T8" s="40" t="str">
        <f aca="false">IF(OR($S8="",N($L8)=0),"",$S8/$L8)</f>
        <v/>
      </c>
      <c r="U8" s="41" t="str">
        <f aca="false">IF(OR($L8="",NOT(ISNUMBER($O8))),"",IF(設定!$C$16-$X8&lt;=0,"設定を確認",MAX((設定!$C$8*設定!$C$4*(1-設定!$C$10)+$Y8+N($D8)+N($E8)+$O8+$Q8-N($G8)*設定!$C$4*設定!$C$16)/(設定!$C$4*(設定!$C$16-$X8)),(設定!$C$8*設定!$C$4*(1-設定!$C$10)+$Y8+N($D8)+N($E8)+$O8+$Q8+設定!$C$13-N($G8)*設定!$C$4*設定!$C$15)/(設定!$C$4*(設定!$C$15-$X8)))))</f>
        <v/>
      </c>
      <c r="V8" s="42" t="str">
        <f aca="false">IF($L8="","",IF(NOT(ISNUMBER($O8)),"要確認：重量が送料表の範囲外",IF(AND($T8&gt;=設定!$C$12,$S8&gt;=設定!$C$13,N($J8)&gt;=設定!$C$14),"◎ 出品候補",IF(AND($T8&gt;=設定!$C$12,$S8&gt;=設定!$C$13),"△ 利益OK・販売実績が不足","× 見送り"))))</f>
        <v/>
      </c>
      <c r="W8" s="3"/>
      <c r="X8" s="43" t="str">
        <f aca="false">IF($H8="","",INDEX(設定!$C$20:$C$23,MATCH($H8,設定!$A$20:$A$23,0)))</f>
        <v/>
      </c>
      <c r="Y8" s="44" t="str">
        <f aca="false">IF($H8="","",INDEX(設定!$D$20:$D$23,MATCH($H8,設定!$A$20:$A$23,0))+INDEX(設定!$E$20:$E$23,MATCH($H8,設定!$A$20:$A$23,0)))</f>
        <v/>
      </c>
    </row>
    <row r="9" customFormat="false" ht="15" hidden="false" customHeight="false" outlineLevel="0" collapsed="false">
      <c r="A9" s="34" t="n">
        <v>5</v>
      </c>
      <c r="B9" s="3"/>
      <c r="C9" s="3"/>
      <c r="D9" s="36"/>
      <c r="E9" s="36"/>
      <c r="F9" s="37"/>
      <c r="G9" s="37"/>
      <c r="H9" s="35"/>
      <c r="I9" s="36"/>
      <c r="J9" s="36"/>
      <c r="K9" s="3"/>
      <c r="L9" s="38" t="str">
        <f aca="false">IF(AND($D9&lt;&gt;"",$F9&lt;&gt;"",$H9&lt;&gt;"",$I9&lt;&gt;""),($F9+N($G9))*設定!$C$4,"")</f>
        <v/>
      </c>
      <c r="M9" s="38" t="str">
        <f aca="false">IF($L9="","",(($F9+N($G9))*(設定!$C$6+設定!$C$7+設定!$C$9)+設定!$C$8)*設定!$C$4)</f>
        <v/>
      </c>
      <c r="N9" s="38" t="str">
        <f aca="false">IF($L9="","",($L9-$M9)*設定!$C$10)</f>
        <v/>
      </c>
      <c r="O9" s="38" t="str">
        <f aca="false">IF($L9="","",IF($I9&gt;MAX(送料表!$B$5:$B$18),"範囲外",INDEX(送料表!$C$5:$F$18,MATCH($I9,送料表!$A$5:$A$18,1),MATCH($H9,送料表!$C$4:$F$4,0))))</f>
        <v/>
      </c>
      <c r="P9" s="38" t="str">
        <f aca="false">IF($L9="","",$F9*設定!$C$4*$X9+$Y9)</f>
        <v/>
      </c>
      <c r="Q9" s="38" t="str">
        <f aca="false">IF($L9="","",設定!$C$11)</f>
        <v/>
      </c>
      <c r="R9" s="38" t="str">
        <f aca="false">IF(OR($L9="",NOT(ISNUMBER($O9))),"",N($D9)+N($E9)+$M9+$N9+$O9+$P9+$Q9)</f>
        <v/>
      </c>
      <c r="S9" s="39" t="str">
        <f aca="false">IF($R9="","",$L9-$R9)</f>
        <v/>
      </c>
      <c r="T9" s="40" t="str">
        <f aca="false">IF(OR($S9="",N($L9)=0),"",$S9/$L9)</f>
        <v/>
      </c>
      <c r="U9" s="41" t="str">
        <f aca="false">IF(OR($L9="",NOT(ISNUMBER($O9))),"",IF(設定!$C$16-$X9&lt;=0,"設定を確認",MAX((設定!$C$8*設定!$C$4*(1-設定!$C$10)+$Y9+N($D9)+N($E9)+$O9+$Q9-N($G9)*設定!$C$4*設定!$C$16)/(設定!$C$4*(設定!$C$16-$X9)),(設定!$C$8*設定!$C$4*(1-設定!$C$10)+$Y9+N($D9)+N($E9)+$O9+$Q9+設定!$C$13-N($G9)*設定!$C$4*設定!$C$15)/(設定!$C$4*(設定!$C$15-$X9)))))</f>
        <v/>
      </c>
      <c r="V9" s="42" t="str">
        <f aca="false">IF($L9="","",IF(NOT(ISNUMBER($O9)),"要確認：重量が送料表の範囲外",IF(AND($T9&gt;=設定!$C$12,$S9&gt;=設定!$C$13,N($J9)&gt;=設定!$C$14),"◎ 出品候補",IF(AND($T9&gt;=設定!$C$12,$S9&gt;=設定!$C$13),"△ 利益OK・販売実績が不足","× 見送り"))))</f>
        <v/>
      </c>
      <c r="W9" s="3"/>
      <c r="X9" s="43" t="str">
        <f aca="false">IF($H9="","",INDEX(設定!$C$20:$C$23,MATCH($H9,設定!$A$20:$A$23,0)))</f>
        <v/>
      </c>
      <c r="Y9" s="44" t="str">
        <f aca="false">IF($H9="","",INDEX(設定!$D$20:$D$23,MATCH($H9,設定!$A$20:$A$23,0))+INDEX(設定!$E$20:$E$23,MATCH($H9,設定!$A$20:$A$23,0)))</f>
        <v/>
      </c>
    </row>
    <row r="10" customFormat="false" ht="15" hidden="false" customHeight="false" outlineLevel="0" collapsed="false">
      <c r="A10" s="34" t="n">
        <v>6</v>
      </c>
      <c r="B10" s="3"/>
      <c r="C10" s="3"/>
      <c r="D10" s="36"/>
      <c r="E10" s="36"/>
      <c r="F10" s="37"/>
      <c r="G10" s="37"/>
      <c r="H10" s="35"/>
      <c r="I10" s="36"/>
      <c r="J10" s="36"/>
      <c r="K10" s="3"/>
      <c r="L10" s="38" t="str">
        <f aca="false">IF(AND($D10&lt;&gt;"",$F10&lt;&gt;"",$H10&lt;&gt;"",$I10&lt;&gt;""),($F10+N($G10))*設定!$C$4,"")</f>
        <v/>
      </c>
      <c r="M10" s="38" t="str">
        <f aca="false">IF($L10="","",(($F10+N($G10))*(設定!$C$6+設定!$C$7+設定!$C$9)+設定!$C$8)*設定!$C$4)</f>
        <v/>
      </c>
      <c r="N10" s="38" t="str">
        <f aca="false">IF($L10="","",($L10-$M10)*設定!$C$10)</f>
        <v/>
      </c>
      <c r="O10" s="38" t="str">
        <f aca="false">IF($L10="","",IF($I10&gt;MAX(送料表!$B$5:$B$18),"範囲外",INDEX(送料表!$C$5:$F$18,MATCH($I10,送料表!$A$5:$A$18,1),MATCH($H10,送料表!$C$4:$F$4,0))))</f>
        <v/>
      </c>
      <c r="P10" s="38" t="str">
        <f aca="false">IF($L10="","",$F10*設定!$C$4*$X10+$Y10)</f>
        <v/>
      </c>
      <c r="Q10" s="38" t="str">
        <f aca="false">IF($L10="","",設定!$C$11)</f>
        <v/>
      </c>
      <c r="R10" s="38" t="str">
        <f aca="false">IF(OR($L10="",NOT(ISNUMBER($O10))),"",N($D10)+N($E10)+$M10+$N10+$O10+$P10+$Q10)</f>
        <v/>
      </c>
      <c r="S10" s="39" t="str">
        <f aca="false">IF($R10="","",$L10-$R10)</f>
        <v/>
      </c>
      <c r="T10" s="40" t="str">
        <f aca="false">IF(OR($S10="",N($L10)=0),"",$S10/$L10)</f>
        <v/>
      </c>
      <c r="U10" s="41" t="str">
        <f aca="false">IF(OR($L10="",NOT(ISNUMBER($O10))),"",IF(設定!$C$16-$X10&lt;=0,"設定を確認",MAX((設定!$C$8*設定!$C$4*(1-設定!$C$10)+$Y10+N($D10)+N($E10)+$O10+$Q10-N($G10)*設定!$C$4*設定!$C$16)/(設定!$C$4*(設定!$C$16-$X10)),(設定!$C$8*設定!$C$4*(1-設定!$C$10)+$Y10+N($D10)+N($E10)+$O10+$Q10+設定!$C$13-N($G10)*設定!$C$4*設定!$C$15)/(設定!$C$4*(設定!$C$15-$X10)))))</f>
        <v/>
      </c>
      <c r="V10" s="42" t="str">
        <f aca="false">IF($L10="","",IF(NOT(ISNUMBER($O10)),"要確認：重量が送料表の範囲外",IF(AND($T10&gt;=設定!$C$12,$S10&gt;=設定!$C$13,N($J10)&gt;=設定!$C$14),"◎ 出品候補",IF(AND($T10&gt;=設定!$C$12,$S10&gt;=設定!$C$13),"△ 利益OK・販売実績が不足","× 見送り"))))</f>
        <v/>
      </c>
      <c r="W10" s="3"/>
      <c r="X10" s="43" t="str">
        <f aca="false">IF($H10="","",INDEX(設定!$C$20:$C$23,MATCH($H10,設定!$A$20:$A$23,0)))</f>
        <v/>
      </c>
      <c r="Y10" s="44" t="str">
        <f aca="false">IF($H10="","",INDEX(設定!$D$20:$D$23,MATCH($H10,設定!$A$20:$A$23,0))+INDEX(設定!$E$20:$E$23,MATCH($H10,設定!$A$20:$A$23,0)))</f>
        <v/>
      </c>
    </row>
    <row r="11" customFormat="false" ht="15" hidden="false" customHeight="false" outlineLevel="0" collapsed="false">
      <c r="A11" s="34" t="n">
        <v>7</v>
      </c>
      <c r="B11" s="3"/>
      <c r="C11" s="3"/>
      <c r="D11" s="36"/>
      <c r="E11" s="36"/>
      <c r="F11" s="37"/>
      <c r="G11" s="37"/>
      <c r="H11" s="35"/>
      <c r="I11" s="36"/>
      <c r="J11" s="36"/>
      <c r="K11" s="3"/>
      <c r="L11" s="38" t="str">
        <f aca="false">IF(AND($D11&lt;&gt;"",$F11&lt;&gt;"",$H11&lt;&gt;"",$I11&lt;&gt;""),($F11+N($G11))*設定!$C$4,"")</f>
        <v/>
      </c>
      <c r="M11" s="38" t="str">
        <f aca="false">IF($L11="","",(($F11+N($G11))*(設定!$C$6+設定!$C$7+設定!$C$9)+設定!$C$8)*設定!$C$4)</f>
        <v/>
      </c>
      <c r="N11" s="38" t="str">
        <f aca="false">IF($L11="","",($L11-$M11)*設定!$C$10)</f>
        <v/>
      </c>
      <c r="O11" s="38" t="str">
        <f aca="false">IF($L11="","",IF($I11&gt;MAX(送料表!$B$5:$B$18),"範囲外",INDEX(送料表!$C$5:$F$18,MATCH($I11,送料表!$A$5:$A$18,1),MATCH($H11,送料表!$C$4:$F$4,0))))</f>
        <v/>
      </c>
      <c r="P11" s="38" t="str">
        <f aca="false">IF($L11="","",$F11*設定!$C$4*$X11+$Y11)</f>
        <v/>
      </c>
      <c r="Q11" s="38" t="str">
        <f aca="false">IF($L11="","",設定!$C$11)</f>
        <v/>
      </c>
      <c r="R11" s="38" t="str">
        <f aca="false">IF(OR($L11="",NOT(ISNUMBER($O11))),"",N($D11)+N($E11)+$M11+$N11+$O11+$P11+$Q11)</f>
        <v/>
      </c>
      <c r="S11" s="39" t="str">
        <f aca="false">IF($R11="","",$L11-$R11)</f>
        <v/>
      </c>
      <c r="T11" s="40" t="str">
        <f aca="false">IF(OR($S11="",N($L11)=0),"",$S11/$L11)</f>
        <v/>
      </c>
      <c r="U11" s="41" t="str">
        <f aca="false">IF(OR($L11="",NOT(ISNUMBER($O11))),"",IF(設定!$C$16-$X11&lt;=0,"設定を確認",MAX((設定!$C$8*設定!$C$4*(1-設定!$C$10)+$Y11+N($D11)+N($E11)+$O11+$Q11-N($G11)*設定!$C$4*設定!$C$16)/(設定!$C$4*(設定!$C$16-$X11)),(設定!$C$8*設定!$C$4*(1-設定!$C$10)+$Y11+N($D11)+N($E11)+$O11+$Q11+設定!$C$13-N($G11)*設定!$C$4*設定!$C$15)/(設定!$C$4*(設定!$C$15-$X11)))))</f>
        <v/>
      </c>
      <c r="V11" s="42" t="str">
        <f aca="false">IF($L11="","",IF(NOT(ISNUMBER($O11)),"要確認：重量が送料表の範囲外",IF(AND($T11&gt;=設定!$C$12,$S11&gt;=設定!$C$13,N($J11)&gt;=設定!$C$14),"◎ 出品候補",IF(AND($T11&gt;=設定!$C$12,$S11&gt;=設定!$C$13),"△ 利益OK・販売実績が不足","× 見送り"))))</f>
        <v/>
      </c>
      <c r="W11" s="3"/>
      <c r="X11" s="43" t="str">
        <f aca="false">IF($H11="","",INDEX(設定!$C$20:$C$23,MATCH($H11,設定!$A$20:$A$23,0)))</f>
        <v/>
      </c>
      <c r="Y11" s="44" t="str">
        <f aca="false">IF($H11="","",INDEX(設定!$D$20:$D$23,MATCH($H11,設定!$A$20:$A$23,0))+INDEX(設定!$E$20:$E$23,MATCH($H11,設定!$A$20:$A$23,0)))</f>
        <v/>
      </c>
    </row>
    <row r="12" customFormat="false" ht="15" hidden="false" customHeight="false" outlineLevel="0" collapsed="false">
      <c r="A12" s="34" t="n">
        <v>8</v>
      </c>
      <c r="B12" s="3"/>
      <c r="C12" s="3"/>
      <c r="D12" s="36"/>
      <c r="E12" s="36"/>
      <c r="F12" s="37"/>
      <c r="G12" s="37"/>
      <c r="H12" s="35"/>
      <c r="I12" s="36"/>
      <c r="J12" s="36"/>
      <c r="K12" s="3"/>
      <c r="L12" s="38" t="str">
        <f aca="false">IF(AND($D12&lt;&gt;"",$F12&lt;&gt;"",$H12&lt;&gt;"",$I12&lt;&gt;""),($F12+N($G12))*設定!$C$4,"")</f>
        <v/>
      </c>
      <c r="M12" s="38" t="str">
        <f aca="false">IF($L12="","",(($F12+N($G12))*(設定!$C$6+設定!$C$7+設定!$C$9)+設定!$C$8)*設定!$C$4)</f>
        <v/>
      </c>
      <c r="N12" s="38" t="str">
        <f aca="false">IF($L12="","",($L12-$M12)*設定!$C$10)</f>
        <v/>
      </c>
      <c r="O12" s="38" t="str">
        <f aca="false">IF($L12="","",IF($I12&gt;MAX(送料表!$B$5:$B$18),"範囲外",INDEX(送料表!$C$5:$F$18,MATCH($I12,送料表!$A$5:$A$18,1),MATCH($H12,送料表!$C$4:$F$4,0))))</f>
        <v/>
      </c>
      <c r="P12" s="38" t="str">
        <f aca="false">IF($L12="","",$F12*設定!$C$4*$X12+$Y12)</f>
        <v/>
      </c>
      <c r="Q12" s="38" t="str">
        <f aca="false">IF($L12="","",設定!$C$11)</f>
        <v/>
      </c>
      <c r="R12" s="38" t="str">
        <f aca="false">IF(OR($L12="",NOT(ISNUMBER($O12))),"",N($D12)+N($E12)+$M12+$N12+$O12+$P12+$Q12)</f>
        <v/>
      </c>
      <c r="S12" s="39" t="str">
        <f aca="false">IF($R12="","",$L12-$R12)</f>
        <v/>
      </c>
      <c r="T12" s="40" t="str">
        <f aca="false">IF(OR($S12="",N($L12)=0),"",$S12/$L12)</f>
        <v/>
      </c>
      <c r="U12" s="41" t="str">
        <f aca="false">IF(OR($L12="",NOT(ISNUMBER($O12))),"",IF(設定!$C$16-$X12&lt;=0,"設定を確認",MAX((設定!$C$8*設定!$C$4*(1-設定!$C$10)+$Y12+N($D12)+N($E12)+$O12+$Q12-N($G12)*設定!$C$4*設定!$C$16)/(設定!$C$4*(設定!$C$16-$X12)),(設定!$C$8*設定!$C$4*(1-設定!$C$10)+$Y12+N($D12)+N($E12)+$O12+$Q12+設定!$C$13-N($G12)*設定!$C$4*設定!$C$15)/(設定!$C$4*(設定!$C$15-$X12)))))</f>
        <v/>
      </c>
      <c r="V12" s="42" t="str">
        <f aca="false">IF($L12="","",IF(NOT(ISNUMBER($O12)),"要確認：重量が送料表の範囲外",IF(AND($T12&gt;=設定!$C$12,$S12&gt;=設定!$C$13,N($J12)&gt;=設定!$C$14),"◎ 出品候補",IF(AND($T12&gt;=設定!$C$12,$S12&gt;=設定!$C$13),"△ 利益OK・販売実績が不足","× 見送り"))))</f>
        <v/>
      </c>
      <c r="W12" s="3"/>
      <c r="X12" s="43" t="str">
        <f aca="false">IF($H12="","",INDEX(設定!$C$20:$C$23,MATCH($H12,設定!$A$20:$A$23,0)))</f>
        <v/>
      </c>
      <c r="Y12" s="44" t="str">
        <f aca="false">IF($H12="","",INDEX(設定!$D$20:$D$23,MATCH($H12,設定!$A$20:$A$23,0))+INDEX(設定!$E$20:$E$23,MATCH($H12,設定!$A$20:$A$23,0)))</f>
        <v/>
      </c>
    </row>
    <row r="13" customFormat="false" ht="15" hidden="false" customHeight="false" outlineLevel="0" collapsed="false">
      <c r="A13" s="34" t="n">
        <v>9</v>
      </c>
      <c r="B13" s="3"/>
      <c r="C13" s="3"/>
      <c r="D13" s="36"/>
      <c r="E13" s="36"/>
      <c r="F13" s="37"/>
      <c r="G13" s="37"/>
      <c r="H13" s="35"/>
      <c r="I13" s="36"/>
      <c r="J13" s="36"/>
      <c r="K13" s="3"/>
      <c r="L13" s="38" t="str">
        <f aca="false">IF(AND($D13&lt;&gt;"",$F13&lt;&gt;"",$H13&lt;&gt;"",$I13&lt;&gt;""),($F13+N($G13))*設定!$C$4,"")</f>
        <v/>
      </c>
      <c r="M13" s="38" t="str">
        <f aca="false">IF($L13="","",(($F13+N($G13))*(設定!$C$6+設定!$C$7+設定!$C$9)+設定!$C$8)*設定!$C$4)</f>
        <v/>
      </c>
      <c r="N13" s="38" t="str">
        <f aca="false">IF($L13="","",($L13-$M13)*設定!$C$10)</f>
        <v/>
      </c>
      <c r="O13" s="38" t="str">
        <f aca="false">IF($L13="","",IF($I13&gt;MAX(送料表!$B$5:$B$18),"範囲外",INDEX(送料表!$C$5:$F$18,MATCH($I13,送料表!$A$5:$A$18,1),MATCH($H13,送料表!$C$4:$F$4,0))))</f>
        <v/>
      </c>
      <c r="P13" s="38" t="str">
        <f aca="false">IF($L13="","",$F13*設定!$C$4*$X13+$Y13)</f>
        <v/>
      </c>
      <c r="Q13" s="38" t="str">
        <f aca="false">IF($L13="","",設定!$C$11)</f>
        <v/>
      </c>
      <c r="R13" s="38" t="str">
        <f aca="false">IF(OR($L13="",NOT(ISNUMBER($O13))),"",N($D13)+N($E13)+$M13+$N13+$O13+$P13+$Q13)</f>
        <v/>
      </c>
      <c r="S13" s="39" t="str">
        <f aca="false">IF($R13="","",$L13-$R13)</f>
        <v/>
      </c>
      <c r="T13" s="40" t="str">
        <f aca="false">IF(OR($S13="",N($L13)=0),"",$S13/$L13)</f>
        <v/>
      </c>
      <c r="U13" s="41" t="str">
        <f aca="false">IF(OR($L13="",NOT(ISNUMBER($O13))),"",IF(設定!$C$16-$X13&lt;=0,"設定を確認",MAX((設定!$C$8*設定!$C$4*(1-設定!$C$10)+$Y13+N($D13)+N($E13)+$O13+$Q13-N($G13)*設定!$C$4*設定!$C$16)/(設定!$C$4*(設定!$C$16-$X13)),(設定!$C$8*設定!$C$4*(1-設定!$C$10)+$Y13+N($D13)+N($E13)+$O13+$Q13+設定!$C$13-N($G13)*設定!$C$4*設定!$C$15)/(設定!$C$4*(設定!$C$15-$X13)))))</f>
        <v/>
      </c>
      <c r="V13" s="42" t="str">
        <f aca="false">IF($L13="","",IF(NOT(ISNUMBER($O13)),"要確認：重量が送料表の範囲外",IF(AND($T13&gt;=設定!$C$12,$S13&gt;=設定!$C$13,N($J13)&gt;=設定!$C$14),"◎ 出品候補",IF(AND($T13&gt;=設定!$C$12,$S13&gt;=設定!$C$13),"△ 利益OK・販売実績が不足","× 見送り"))))</f>
        <v/>
      </c>
      <c r="W13" s="3"/>
      <c r="X13" s="43" t="str">
        <f aca="false">IF($H13="","",INDEX(設定!$C$20:$C$23,MATCH($H13,設定!$A$20:$A$23,0)))</f>
        <v/>
      </c>
      <c r="Y13" s="44" t="str">
        <f aca="false">IF($H13="","",INDEX(設定!$D$20:$D$23,MATCH($H13,設定!$A$20:$A$23,0))+INDEX(設定!$E$20:$E$23,MATCH($H13,設定!$A$20:$A$23,0)))</f>
        <v/>
      </c>
    </row>
    <row r="14" customFormat="false" ht="15" hidden="false" customHeight="false" outlineLevel="0" collapsed="false">
      <c r="A14" s="34" t="n">
        <v>10</v>
      </c>
      <c r="B14" s="3"/>
      <c r="C14" s="3"/>
      <c r="D14" s="36"/>
      <c r="E14" s="36"/>
      <c r="F14" s="37"/>
      <c r="G14" s="37"/>
      <c r="H14" s="35"/>
      <c r="I14" s="36"/>
      <c r="J14" s="36"/>
      <c r="K14" s="3"/>
      <c r="L14" s="38" t="str">
        <f aca="false">IF(AND($D14&lt;&gt;"",$F14&lt;&gt;"",$H14&lt;&gt;"",$I14&lt;&gt;""),($F14+N($G14))*設定!$C$4,"")</f>
        <v/>
      </c>
      <c r="M14" s="38" t="str">
        <f aca="false">IF($L14="","",(($F14+N($G14))*(設定!$C$6+設定!$C$7+設定!$C$9)+設定!$C$8)*設定!$C$4)</f>
        <v/>
      </c>
      <c r="N14" s="38" t="str">
        <f aca="false">IF($L14="","",($L14-$M14)*設定!$C$10)</f>
        <v/>
      </c>
      <c r="O14" s="38" t="str">
        <f aca="false">IF($L14="","",IF($I14&gt;MAX(送料表!$B$5:$B$18),"範囲外",INDEX(送料表!$C$5:$F$18,MATCH($I14,送料表!$A$5:$A$18,1),MATCH($H14,送料表!$C$4:$F$4,0))))</f>
        <v/>
      </c>
      <c r="P14" s="38" t="str">
        <f aca="false">IF($L14="","",$F14*設定!$C$4*$X14+$Y14)</f>
        <v/>
      </c>
      <c r="Q14" s="38" t="str">
        <f aca="false">IF($L14="","",設定!$C$11)</f>
        <v/>
      </c>
      <c r="R14" s="38" t="str">
        <f aca="false">IF(OR($L14="",NOT(ISNUMBER($O14))),"",N($D14)+N($E14)+$M14+$N14+$O14+$P14+$Q14)</f>
        <v/>
      </c>
      <c r="S14" s="39" t="str">
        <f aca="false">IF($R14="","",$L14-$R14)</f>
        <v/>
      </c>
      <c r="T14" s="40" t="str">
        <f aca="false">IF(OR($S14="",N($L14)=0),"",$S14/$L14)</f>
        <v/>
      </c>
      <c r="U14" s="41" t="str">
        <f aca="false">IF(OR($L14="",NOT(ISNUMBER($O14))),"",IF(設定!$C$16-$X14&lt;=0,"設定を確認",MAX((設定!$C$8*設定!$C$4*(1-設定!$C$10)+$Y14+N($D14)+N($E14)+$O14+$Q14-N($G14)*設定!$C$4*設定!$C$16)/(設定!$C$4*(設定!$C$16-$X14)),(設定!$C$8*設定!$C$4*(1-設定!$C$10)+$Y14+N($D14)+N($E14)+$O14+$Q14+設定!$C$13-N($G14)*設定!$C$4*設定!$C$15)/(設定!$C$4*(設定!$C$15-$X14)))))</f>
        <v/>
      </c>
      <c r="V14" s="42" t="str">
        <f aca="false">IF($L14="","",IF(NOT(ISNUMBER($O14)),"要確認：重量が送料表の範囲外",IF(AND($T14&gt;=設定!$C$12,$S14&gt;=設定!$C$13,N($J14)&gt;=設定!$C$14),"◎ 出品候補",IF(AND($T14&gt;=設定!$C$12,$S14&gt;=設定!$C$13),"△ 利益OK・販売実績が不足","× 見送り"))))</f>
        <v/>
      </c>
      <c r="W14" s="3"/>
      <c r="X14" s="43" t="str">
        <f aca="false">IF($H14="","",INDEX(設定!$C$20:$C$23,MATCH($H14,設定!$A$20:$A$23,0)))</f>
        <v/>
      </c>
      <c r="Y14" s="44" t="str">
        <f aca="false">IF($H14="","",INDEX(設定!$D$20:$D$23,MATCH($H14,設定!$A$20:$A$23,0))+INDEX(設定!$E$20:$E$23,MATCH($H14,設定!$A$20:$A$23,0)))</f>
        <v/>
      </c>
    </row>
    <row r="15" customFormat="false" ht="15" hidden="false" customHeight="false" outlineLevel="0" collapsed="false">
      <c r="A15" s="34" t="n">
        <v>11</v>
      </c>
      <c r="B15" s="3"/>
      <c r="C15" s="3"/>
      <c r="D15" s="36"/>
      <c r="E15" s="36"/>
      <c r="F15" s="37"/>
      <c r="G15" s="37"/>
      <c r="H15" s="35"/>
      <c r="I15" s="36"/>
      <c r="J15" s="36"/>
      <c r="K15" s="3"/>
      <c r="L15" s="38" t="str">
        <f aca="false">IF(AND($D15&lt;&gt;"",$F15&lt;&gt;"",$H15&lt;&gt;"",$I15&lt;&gt;""),($F15+N($G15))*設定!$C$4,"")</f>
        <v/>
      </c>
      <c r="M15" s="38" t="str">
        <f aca="false">IF($L15="","",(($F15+N($G15))*(設定!$C$6+設定!$C$7+設定!$C$9)+設定!$C$8)*設定!$C$4)</f>
        <v/>
      </c>
      <c r="N15" s="38" t="str">
        <f aca="false">IF($L15="","",($L15-$M15)*設定!$C$10)</f>
        <v/>
      </c>
      <c r="O15" s="38" t="str">
        <f aca="false">IF($L15="","",IF($I15&gt;MAX(送料表!$B$5:$B$18),"範囲外",INDEX(送料表!$C$5:$F$18,MATCH($I15,送料表!$A$5:$A$18,1),MATCH($H15,送料表!$C$4:$F$4,0))))</f>
        <v/>
      </c>
      <c r="P15" s="38" t="str">
        <f aca="false">IF($L15="","",$F15*設定!$C$4*$X15+$Y15)</f>
        <v/>
      </c>
      <c r="Q15" s="38" t="str">
        <f aca="false">IF($L15="","",設定!$C$11)</f>
        <v/>
      </c>
      <c r="R15" s="38" t="str">
        <f aca="false">IF(OR($L15="",NOT(ISNUMBER($O15))),"",N($D15)+N($E15)+$M15+$N15+$O15+$P15+$Q15)</f>
        <v/>
      </c>
      <c r="S15" s="39" t="str">
        <f aca="false">IF($R15="","",$L15-$R15)</f>
        <v/>
      </c>
      <c r="T15" s="40" t="str">
        <f aca="false">IF(OR($S15="",N($L15)=0),"",$S15/$L15)</f>
        <v/>
      </c>
      <c r="U15" s="41" t="str">
        <f aca="false">IF(OR($L15="",NOT(ISNUMBER($O15))),"",IF(設定!$C$16-$X15&lt;=0,"設定を確認",MAX((設定!$C$8*設定!$C$4*(1-設定!$C$10)+$Y15+N($D15)+N($E15)+$O15+$Q15-N($G15)*設定!$C$4*設定!$C$16)/(設定!$C$4*(設定!$C$16-$X15)),(設定!$C$8*設定!$C$4*(1-設定!$C$10)+$Y15+N($D15)+N($E15)+$O15+$Q15+設定!$C$13-N($G15)*設定!$C$4*設定!$C$15)/(設定!$C$4*(設定!$C$15-$X15)))))</f>
        <v/>
      </c>
      <c r="V15" s="42" t="str">
        <f aca="false">IF($L15="","",IF(NOT(ISNUMBER($O15)),"要確認：重量が送料表の範囲外",IF(AND($T15&gt;=設定!$C$12,$S15&gt;=設定!$C$13,N($J15)&gt;=設定!$C$14),"◎ 出品候補",IF(AND($T15&gt;=設定!$C$12,$S15&gt;=設定!$C$13),"△ 利益OK・販売実績が不足","× 見送り"))))</f>
        <v/>
      </c>
      <c r="W15" s="3"/>
      <c r="X15" s="43" t="str">
        <f aca="false">IF($H15="","",INDEX(設定!$C$20:$C$23,MATCH($H15,設定!$A$20:$A$23,0)))</f>
        <v/>
      </c>
      <c r="Y15" s="44" t="str">
        <f aca="false">IF($H15="","",INDEX(設定!$D$20:$D$23,MATCH($H15,設定!$A$20:$A$23,0))+INDEX(設定!$E$20:$E$23,MATCH($H15,設定!$A$20:$A$23,0)))</f>
        <v/>
      </c>
    </row>
    <row r="16" customFormat="false" ht="15" hidden="false" customHeight="false" outlineLevel="0" collapsed="false">
      <c r="A16" s="34" t="n">
        <v>12</v>
      </c>
      <c r="B16" s="3"/>
      <c r="C16" s="3"/>
      <c r="D16" s="36"/>
      <c r="E16" s="36"/>
      <c r="F16" s="37"/>
      <c r="G16" s="37"/>
      <c r="H16" s="35"/>
      <c r="I16" s="36"/>
      <c r="J16" s="36"/>
      <c r="K16" s="3"/>
      <c r="L16" s="38" t="str">
        <f aca="false">IF(AND($D16&lt;&gt;"",$F16&lt;&gt;"",$H16&lt;&gt;"",$I16&lt;&gt;""),($F16+N($G16))*設定!$C$4,"")</f>
        <v/>
      </c>
      <c r="M16" s="38" t="str">
        <f aca="false">IF($L16="","",(($F16+N($G16))*(設定!$C$6+設定!$C$7+設定!$C$9)+設定!$C$8)*設定!$C$4)</f>
        <v/>
      </c>
      <c r="N16" s="38" t="str">
        <f aca="false">IF($L16="","",($L16-$M16)*設定!$C$10)</f>
        <v/>
      </c>
      <c r="O16" s="38" t="str">
        <f aca="false">IF($L16="","",IF($I16&gt;MAX(送料表!$B$5:$B$18),"範囲外",INDEX(送料表!$C$5:$F$18,MATCH($I16,送料表!$A$5:$A$18,1),MATCH($H16,送料表!$C$4:$F$4,0))))</f>
        <v/>
      </c>
      <c r="P16" s="38" t="str">
        <f aca="false">IF($L16="","",$F16*設定!$C$4*$X16+$Y16)</f>
        <v/>
      </c>
      <c r="Q16" s="38" t="str">
        <f aca="false">IF($L16="","",設定!$C$11)</f>
        <v/>
      </c>
      <c r="R16" s="38" t="str">
        <f aca="false">IF(OR($L16="",NOT(ISNUMBER($O16))),"",N($D16)+N($E16)+$M16+$N16+$O16+$P16+$Q16)</f>
        <v/>
      </c>
      <c r="S16" s="39" t="str">
        <f aca="false">IF($R16="","",$L16-$R16)</f>
        <v/>
      </c>
      <c r="T16" s="40" t="str">
        <f aca="false">IF(OR($S16="",N($L16)=0),"",$S16/$L16)</f>
        <v/>
      </c>
      <c r="U16" s="41" t="str">
        <f aca="false">IF(OR($L16="",NOT(ISNUMBER($O16))),"",IF(設定!$C$16-$X16&lt;=0,"設定を確認",MAX((設定!$C$8*設定!$C$4*(1-設定!$C$10)+$Y16+N($D16)+N($E16)+$O16+$Q16-N($G16)*設定!$C$4*設定!$C$16)/(設定!$C$4*(設定!$C$16-$X16)),(設定!$C$8*設定!$C$4*(1-設定!$C$10)+$Y16+N($D16)+N($E16)+$O16+$Q16+設定!$C$13-N($G16)*設定!$C$4*設定!$C$15)/(設定!$C$4*(設定!$C$15-$X16)))))</f>
        <v/>
      </c>
      <c r="V16" s="42" t="str">
        <f aca="false">IF($L16="","",IF(NOT(ISNUMBER($O16)),"要確認：重量が送料表の範囲外",IF(AND($T16&gt;=設定!$C$12,$S16&gt;=設定!$C$13,N($J16)&gt;=設定!$C$14),"◎ 出品候補",IF(AND($T16&gt;=設定!$C$12,$S16&gt;=設定!$C$13),"△ 利益OK・販売実績が不足","× 見送り"))))</f>
        <v/>
      </c>
      <c r="W16" s="3"/>
      <c r="X16" s="43" t="str">
        <f aca="false">IF($H16="","",INDEX(設定!$C$20:$C$23,MATCH($H16,設定!$A$20:$A$23,0)))</f>
        <v/>
      </c>
      <c r="Y16" s="44" t="str">
        <f aca="false">IF($H16="","",INDEX(設定!$D$20:$D$23,MATCH($H16,設定!$A$20:$A$23,0))+INDEX(設定!$E$20:$E$23,MATCH($H16,設定!$A$20:$A$23,0)))</f>
        <v/>
      </c>
    </row>
    <row r="17" customFormat="false" ht="15" hidden="false" customHeight="false" outlineLevel="0" collapsed="false">
      <c r="A17" s="34" t="n">
        <v>13</v>
      </c>
      <c r="B17" s="3"/>
      <c r="C17" s="3"/>
      <c r="D17" s="36"/>
      <c r="E17" s="36"/>
      <c r="F17" s="37"/>
      <c r="G17" s="37"/>
      <c r="H17" s="35"/>
      <c r="I17" s="36"/>
      <c r="J17" s="36"/>
      <c r="K17" s="3"/>
      <c r="L17" s="38" t="str">
        <f aca="false">IF(AND($D17&lt;&gt;"",$F17&lt;&gt;"",$H17&lt;&gt;"",$I17&lt;&gt;""),($F17+N($G17))*設定!$C$4,"")</f>
        <v/>
      </c>
      <c r="M17" s="38" t="str">
        <f aca="false">IF($L17="","",(($F17+N($G17))*(設定!$C$6+設定!$C$7+設定!$C$9)+設定!$C$8)*設定!$C$4)</f>
        <v/>
      </c>
      <c r="N17" s="38" t="str">
        <f aca="false">IF($L17="","",($L17-$M17)*設定!$C$10)</f>
        <v/>
      </c>
      <c r="O17" s="38" t="str">
        <f aca="false">IF($L17="","",IF($I17&gt;MAX(送料表!$B$5:$B$18),"範囲外",INDEX(送料表!$C$5:$F$18,MATCH($I17,送料表!$A$5:$A$18,1),MATCH($H17,送料表!$C$4:$F$4,0))))</f>
        <v/>
      </c>
      <c r="P17" s="38" t="str">
        <f aca="false">IF($L17="","",$F17*設定!$C$4*$X17+$Y17)</f>
        <v/>
      </c>
      <c r="Q17" s="38" t="str">
        <f aca="false">IF($L17="","",設定!$C$11)</f>
        <v/>
      </c>
      <c r="R17" s="38" t="str">
        <f aca="false">IF(OR($L17="",NOT(ISNUMBER($O17))),"",N($D17)+N($E17)+$M17+$N17+$O17+$P17+$Q17)</f>
        <v/>
      </c>
      <c r="S17" s="39" t="str">
        <f aca="false">IF($R17="","",$L17-$R17)</f>
        <v/>
      </c>
      <c r="T17" s="40" t="str">
        <f aca="false">IF(OR($S17="",N($L17)=0),"",$S17/$L17)</f>
        <v/>
      </c>
      <c r="U17" s="41" t="str">
        <f aca="false">IF(OR($L17="",NOT(ISNUMBER($O17))),"",IF(設定!$C$16-$X17&lt;=0,"設定を確認",MAX((設定!$C$8*設定!$C$4*(1-設定!$C$10)+$Y17+N($D17)+N($E17)+$O17+$Q17-N($G17)*設定!$C$4*設定!$C$16)/(設定!$C$4*(設定!$C$16-$X17)),(設定!$C$8*設定!$C$4*(1-設定!$C$10)+$Y17+N($D17)+N($E17)+$O17+$Q17+設定!$C$13-N($G17)*設定!$C$4*設定!$C$15)/(設定!$C$4*(設定!$C$15-$X17)))))</f>
        <v/>
      </c>
      <c r="V17" s="42" t="str">
        <f aca="false">IF($L17="","",IF(NOT(ISNUMBER($O17)),"要確認：重量が送料表の範囲外",IF(AND($T17&gt;=設定!$C$12,$S17&gt;=設定!$C$13,N($J17)&gt;=設定!$C$14),"◎ 出品候補",IF(AND($T17&gt;=設定!$C$12,$S17&gt;=設定!$C$13),"△ 利益OK・販売実績が不足","× 見送り"))))</f>
        <v/>
      </c>
      <c r="W17" s="3"/>
      <c r="X17" s="43" t="str">
        <f aca="false">IF($H17="","",INDEX(設定!$C$20:$C$23,MATCH($H17,設定!$A$20:$A$23,0)))</f>
        <v/>
      </c>
      <c r="Y17" s="44" t="str">
        <f aca="false">IF($H17="","",INDEX(設定!$D$20:$D$23,MATCH($H17,設定!$A$20:$A$23,0))+INDEX(設定!$E$20:$E$23,MATCH($H17,設定!$A$20:$A$23,0)))</f>
        <v/>
      </c>
    </row>
    <row r="18" customFormat="false" ht="15" hidden="false" customHeight="false" outlineLevel="0" collapsed="false">
      <c r="A18" s="34" t="n">
        <v>14</v>
      </c>
      <c r="B18" s="3"/>
      <c r="C18" s="3"/>
      <c r="D18" s="36"/>
      <c r="E18" s="36"/>
      <c r="F18" s="37"/>
      <c r="G18" s="37"/>
      <c r="H18" s="35"/>
      <c r="I18" s="36"/>
      <c r="J18" s="36"/>
      <c r="K18" s="3"/>
      <c r="L18" s="38" t="str">
        <f aca="false">IF(AND($D18&lt;&gt;"",$F18&lt;&gt;"",$H18&lt;&gt;"",$I18&lt;&gt;""),($F18+N($G18))*設定!$C$4,"")</f>
        <v/>
      </c>
      <c r="M18" s="38" t="str">
        <f aca="false">IF($L18="","",(($F18+N($G18))*(設定!$C$6+設定!$C$7+設定!$C$9)+設定!$C$8)*設定!$C$4)</f>
        <v/>
      </c>
      <c r="N18" s="38" t="str">
        <f aca="false">IF($L18="","",($L18-$M18)*設定!$C$10)</f>
        <v/>
      </c>
      <c r="O18" s="38" t="str">
        <f aca="false">IF($L18="","",IF($I18&gt;MAX(送料表!$B$5:$B$18),"範囲外",INDEX(送料表!$C$5:$F$18,MATCH($I18,送料表!$A$5:$A$18,1),MATCH($H18,送料表!$C$4:$F$4,0))))</f>
        <v/>
      </c>
      <c r="P18" s="38" t="str">
        <f aca="false">IF($L18="","",$F18*設定!$C$4*$X18+$Y18)</f>
        <v/>
      </c>
      <c r="Q18" s="38" t="str">
        <f aca="false">IF($L18="","",設定!$C$11)</f>
        <v/>
      </c>
      <c r="R18" s="38" t="str">
        <f aca="false">IF(OR($L18="",NOT(ISNUMBER($O18))),"",N($D18)+N($E18)+$M18+$N18+$O18+$P18+$Q18)</f>
        <v/>
      </c>
      <c r="S18" s="39" t="str">
        <f aca="false">IF($R18="","",$L18-$R18)</f>
        <v/>
      </c>
      <c r="T18" s="40" t="str">
        <f aca="false">IF(OR($S18="",N($L18)=0),"",$S18/$L18)</f>
        <v/>
      </c>
      <c r="U18" s="41" t="str">
        <f aca="false">IF(OR($L18="",NOT(ISNUMBER($O18))),"",IF(設定!$C$16-$X18&lt;=0,"設定を確認",MAX((設定!$C$8*設定!$C$4*(1-設定!$C$10)+$Y18+N($D18)+N($E18)+$O18+$Q18-N($G18)*設定!$C$4*設定!$C$16)/(設定!$C$4*(設定!$C$16-$X18)),(設定!$C$8*設定!$C$4*(1-設定!$C$10)+$Y18+N($D18)+N($E18)+$O18+$Q18+設定!$C$13-N($G18)*設定!$C$4*設定!$C$15)/(設定!$C$4*(設定!$C$15-$X18)))))</f>
        <v/>
      </c>
      <c r="V18" s="42" t="str">
        <f aca="false">IF($L18="","",IF(NOT(ISNUMBER($O18)),"要確認：重量が送料表の範囲外",IF(AND($T18&gt;=設定!$C$12,$S18&gt;=設定!$C$13,N($J18)&gt;=設定!$C$14),"◎ 出品候補",IF(AND($T18&gt;=設定!$C$12,$S18&gt;=設定!$C$13),"△ 利益OK・販売実績が不足","× 見送り"))))</f>
        <v/>
      </c>
      <c r="W18" s="3"/>
      <c r="X18" s="43" t="str">
        <f aca="false">IF($H18="","",INDEX(設定!$C$20:$C$23,MATCH($H18,設定!$A$20:$A$23,0)))</f>
        <v/>
      </c>
      <c r="Y18" s="44" t="str">
        <f aca="false">IF($H18="","",INDEX(設定!$D$20:$D$23,MATCH($H18,設定!$A$20:$A$23,0))+INDEX(設定!$E$20:$E$23,MATCH($H18,設定!$A$20:$A$23,0)))</f>
        <v/>
      </c>
    </row>
    <row r="19" customFormat="false" ht="15" hidden="false" customHeight="false" outlineLevel="0" collapsed="false">
      <c r="A19" s="34" t="n">
        <v>15</v>
      </c>
      <c r="B19" s="3"/>
      <c r="C19" s="3"/>
      <c r="D19" s="36"/>
      <c r="E19" s="36"/>
      <c r="F19" s="37"/>
      <c r="G19" s="37"/>
      <c r="H19" s="35"/>
      <c r="I19" s="36"/>
      <c r="J19" s="36"/>
      <c r="K19" s="3"/>
      <c r="L19" s="38" t="str">
        <f aca="false">IF(AND($D19&lt;&gt;"",$F19&lt;&gt;"",$H19&lt;&gt;"",$I19&lt;&gt;""),($F19+N($G19))*設定!$C$4,"")</f>
        <v/>
      </c>
      <c r="M19" s="38" t="str">
        <f aca="false">IF($L19="","",(($F19+N($G19))*(設定!$C$6+設定!$C$7+設定!$C$9)+設定!$C$8)*設定!$C$4)</f>
        <v/>
      </c>
      <c r="N19" s="38" t="str">
        <f aca="false">IF($L19="","",($L19-$M19)*設定!$C$10)</f>
        <v/>
      </c>
      <c r="O19" s="38" t="str">
        <f aca="false">IF($L19="","",IF($I19&gt;MAX(送料表!$B$5:$B$18),"範囲外",INDEX(送料表!$C$5:$F$18,MATCH($I19,送料表!$A$5:$A$18,1),MATCH($H19,送料表!$C$4:$F$4,0))))</f>
        <v/>
      </c>
      <c r="P19" s="38" t="str">
        <f aca="false">IF($L19="","",$F19*設定!$C$4*$X19+$Y19)</f>
        <v/>
      </c>
      <c r="Q19" s="38" t="str">
        <f aca="false">IF($L19="","",設定!$C$11)</f>
        <v/>
      </c>
      <c r="R19" s="38" t="str">
        <f aca="false">IF(OR($L19="",NOT(ISNUMBER($O19))),"",N($D19)+N($E19)+$M19+$N19+$O19+$P19+$Q19)</f>
        <v/>
      </c>
      <c r="S19" s="39" t="str">
        <f aca="false">IF($R19="","",$L19-$R19)</f>
        <v/>
      </c>
      <c r="T19" s="40" t="str">
        <f aca="false">IF(OR($S19="",N($L19)=0),"",$S19/$L19)</f>
        <v/>
      </c>
      <c r="U19" s="41" t="str">
        <f aca="false">IF(OR($L19="",NOT(ISNUMBER($O19))),"",IF(設定!$C$16-$X19&lt;=0,"設定を確認",MAX((設定!$C$8*設定!$C$4*(1-設定!$C$10)+$Y19+N($D19)+N($E19)+$O19+$Q19-N($G19)*設定!$C$4*設定!$C$16)/(設定!$C$4*(設定!$C$16-$X19)),(設定!$C$8*設定!$C$4*(1-設定!$C$10)+$Y19+N($D19)+N($E19)+$O19+$Q19+設定!$C$13-N($G19)*設定!$C$4*設定!$C$15)/(設定!$C$4*(設定!$C$15-$X19)))))</f>
        <v/>
      </c>
      <c r="V19" s="42" t="str">
        <f aca="false">IF($L19="","",IF(NOT(ISNUMBER($O19)),"要確認：重量が送料表の範囲外",IF(AND($T19&gt;=設定!$C$12,$S19&gt;=設定!$C$13,N($J19)&gt;=設定!$C$14),"◎ 出品候補",IF(AND($T19&gt;=設定!$C$12,$S19&gt;=設定!$C$13),"△ 利益OK・販売実績が不足","× 見送り"))))</f>
        <v/>
      </c>
      <c r="W19" s="3"/>
      <c r="X19" s="43" t="str">
        <f aca="false">IF($H19="","",INDEX(設定!$C$20:$C$23,MATCH($H19,設定!$A$20:$A$23,0)))</f>
        <v/>
      </c>
      <c r="Y19" s="44" t="str">
        <f aca="false">IF($H19="","",INDEX(設定!$D$20:$D$23,MATCH($H19,設定!$A$20:$A$23,0))+INDEX(設定!$E$20:$E$23,MATCH($H19,設定!$A$20:$A$23,0)))</f>
        <v/>
      </c>
    </row>
    <row r="20" customFormat="false" ht="15" hidden="false" customHeight="false" outlineLevel="0" collapsed="false">
      <c r="A20" s="34" t="n">
        <v>16</v>
      </c>
      <c r="B20" s="3"/>
      <c r="C20" s="3"/>
      <c r="D20" s="36"/>
      <c r="E20" s="36"/>
      <c r="F20" s="37"/>
      <c r="G20" s="37"/>
      <c r="H20" s="35"/>
      <c r="I20" s="36"/>
      <c r="J20" s="36"/>
      <c r="K20" s="3"/>
      <c r="L20" s="38" t="str">
        <f aca="false">IF(AND($D20&lt;&gt;"",$F20&lt;&gt;"",$H20&lt;&gt;"",$I20&lt;&gt;""),($F20+N($G20))*設定!$C$4,"")</f>
        <v/>
      </c>
      <c r="M20" s="38" t="str">
        <f aca="false">IF($L20="","",(($F20+N($G20))*(設定!$C$6+設定!$C$7+設定!$C$9)+設定!$C$8)*設定!$C$4)</f>
        <v/>
      </c>
      <c r="N20" s="38" t="str">
        <f aca="false">IF($L20="","",($L20-$M20)*設定!$C$10)</f>
        <v/>
      </c>
      <c r="O20" s="38" t="str">
        <f aca="false">IF($L20="","",IF($I20&gt;MAX(送料表!$B$5:$B$18),"範囲外",INDEX(送料表!$C$5:$F$18,MATCH($I20,送料表!$A$5:$A$18,1),MATCH($H20,送料表!$C$4:$F$4,0))))</f>
        <v/>
      </c>
      <c r="P20" s="38" t="str">
        <f aca="false">IF($L20="","",$F20*設定!$C$4*$X20+$Y20)</f>
        <v/>
      </c>
      <c r="Q20" s="38" t="str">
        <f aca="false">IF($L20="","",設定!$C$11)</f>
        <v/>
      </c>
      <c r="R20" s="38" t="str">
        <f aca="false">IF(OR($L20="",NOT(ISNUMBER($O20))),"",N($D20)+N($E20)+$M20+$N20+$O20+$P20+$Q20)</f>
        <v/>
      </c>
      <c r="S20" s="39" t="str">
        <f aca="false">IF($R20="","",$L20-$R20)</f>
        <v/>
      </c>
      <c r="T20" s="40" t="str">
        <f aca="false">IF(OR($S20="",N($L20)=0),"",$S20/$L20)</f>
        <v/>
      </c>
      <c r="U20" s="41" t="str">
        <f aca="false">IF(OR($L20="",NOT(ISNUMBER($O20))),"",IF(設定!$C$16-$X20&lt;=0,"設定を確認",MAX((設定!$C$8*設定!$C$4*(1-設定!$C$10)+$Y20+N($D20)+N($E20)+$O20+$Q20-N($G20)*設定!$C$4*設定!$C$16)/(設定!$C$4*(設定!$C$16-$X20)),(設定!$C$8*設定!$C$4*(1-設定!$C$10)+$Y20+N($D20)+N($E20)+$O20+$Q20+設定!$C$13-N($G20)*設定!$C$4*設定!$C$15)/(設定!$C$4*(設定!$C$15-$X20)))))</f>
        <v/>
      </c>
      <c r="V20" s="42" t="str">
        <f aca="false">IF($L20="","",IF(NOT(ISNUMBER($O20)),"要確認：重量が送料表の範囲外",IF(AND($T20&gt;=設定!$C$12,$S20&gt;=設定!$C$13,N($J20)&gt;=設定!$C$14),"◎ 出品候補",IF(AND($T20&gt;=設定!$C$12,$S20&gt;=設定!$C$13),"△ 利益OK・販売実績が不足","× 見送り"))))</f>
        <v/>
      </c>
      <c r="W20" s="3"/>
      <c r="X20" s="43" t="str">
        <f aca="false">IF($H20="","",INDEX(設定!$C$20:$C$23,MATCH($H20,設定!$A$20:$A$23,0)))</f>
        <v/>
      </c>
      <c r="Y20" s="44" t="str">
        <f aca="false">IF($H20="","",INDEX(設定!$D$20:$D$23,MATCH($H20,設定!$A$20:$A$23,0))+INDEX(設定!$E$20:$E$23,MATCH($H20,設定!$A$20:$A$23,0)))</f>
        <v/>
      </c>
    </row>
    <row r="21" customFormat="false" ht="15" hidden="false" customHeight="false" outlineLevel="0" collapsed="false">
      <c r="A21" s="34" t="n">
        <v>17</v>
      </c>
      <c r="B21" s="3"/>
      <c r="C21" s="3"/>
      <c r="D21" s="36"/>
      <c r="E21" s="36"/>
      <c r="F21" s="37"/>
      <c r="G21" s="37"/>
      <c r="H21" s="35"/>
      <c r="I21" s="36"/>
      <c r="J21" s="36"/>
      <c r="K21" s="3"/>
      <c r="L21" s="38" t="str">
        <f aca="false">IF(AND($D21&lt;&gt;"",$F21&lt;&gt;"",$H21&lt;&gt;"",$I21&lt;&gt;""),($F21+N($G21))*設定!$C$4,"")</f>
        <v/>
      </c>
      <c r="M21" s="38" t="str">
        <f aca="false">IF($L21="","",(($F21+N($G21))*(設定!$C$6+設定!$C$7+設定!$C$9)+設定!$C$8)*設定!$C$4)</f>
        <v/>
      </c>
      <c r="N21" s="38" t="str">
        <f aca="false">IF($L21="","",($L21-$M21)*設定!$C$10)</f>
        <v/>
      </c>
      <c r="O21" s="38" t="str">
        <f aca="false">IF($L21="","",IF($I21&gt;MAX(送料表!$B$5:$B$18),"範囲外",INDEX(送料表!$C$5:$F$18,MATCH($I21,送料表!$A$5:$A$18,1),MATCH($H21,送料表!$C$4:$F$4,0))))</f>
        <v/>
      </c>
      <c r="P21" s="38" t="str">
        <f aca="false">IF($L21="","",$F21*設定!$C$4*$X21+$Y21)</f>
        <v/>
      </c>
      <c r="Q21" s="38" t="str">
        <f aca="false">IF($L21="","",設定!$C$11)</f>
        <v/>
      </c>
      <c r="R21" s="38" t="str">
        <f aca="false">IF(OR($L21="",NOT(ISNUMBER($O21))),"",N($D21)+N($E21)+$M21+$N21+$O21+$P21+$Q21)</f>
        <v/>
      </c>
      <c r="S21" s="39" t="str">
        <f aca="false">IF($R21="","",$L21-$R21)</f>
        <v/>
      </c>
      <c r="T21" s="40" t="str">
        <f aca="false">IF(OR($S21="",N($L21)=0),"",$S21/$L21)</f>
        <v/>
      </c>
      <c r="U21" s="41" t="str">
        <f aca="false">IF(OR($L21="",NOT(ISNUMBER($O21))),"",IF(設定!$C$16-$X21&lt;=0,"設定を確認",MAX((設定!$C$8*設定!$C$4*(1-設定!$C$10)+$Y21+N($D21)+N($E21)+$O21+$Q21-N($G21)*設定!$C$4*設定!$C$16)/(設定!$C$4*(設定!$C$16-$X21)),(設定!$C$8*設定!$C$4*(1-設定!$C$10)+$Y21+N($D21)+N($E21)+$O21+$Q21+設定!$C$13-N($G21)*設定!$C$4*設定!$C$15)/(設定!$C$4*(設定!$C$15-$X21)))))</f>
        <v/>
      </c>
      <c r="V21" s="42" t="str">
        <f aca="false">IF($L21="","",IF(NOT(ISNUMBER($O21)),"要確認：重量が送料表の範囲外",IF(AND($T21&gt;=設定!$C$12,$S21&gt;=設定!$C$13,N($J21)&gt;=設定!$C$14),"◎ 出品候補",IF(AND($T21&gt;=設定!$C$12,$S21&gt;=設定!$C$13),"△ 利益OK・販売実績が不足","× 見送り"))))</f>
        <v/>
      </c>
      <c r="W21" s="3"/>
      <c r="X21" s="43" t="str">
        <f aca="false">IF($H21="","",INDEX(設定!$C$20:$C$23,MATCH($H21,設定!$A$20:$A$23,0)))</f>
        <v/>
      </c>
      <c r="Y21" s="44" t="str">
        <f aca="false">IF($H21="","",INDEX(設定!$D$20:$D$23,MATCH($H21,設定!$A$20:$A$23,0))+INDEX(設定!$E$20:$E$23,MATCH($H21,設定!$A$20:$A$23,0)))</f>
        <v/>
      </c>
    </row>
    <row r="22" customFormat="false" ht="15" hidden="false" customHeight="false" outlineLevel="0" collapsed="false">
      <c r="A22" s="34" t="n">
        <v>18</v>
      </c>
      <c r="B22" s="3"/>
      <c r="C22" s="3"/>
      <c r="D22" s="36"/>
      <c r="E22" s="36"/>
      <c r="F22" s="37"/>
      <c r="G22" s="37"/>
      <c r="H22" s="35"/>
      <c r="I22" s="36"/>
      <c r="J22" s="36"/>
      <c r="K22" s="3"/>
      <c r="L22" s="38" t="str">
        <f aca="false">IF(AND($D22&lt;&gt;"",$F22&lt;&gt;"",$H22&lt;&gt;"",$I22&lt;&gt;""),($F22+N($G22))*設定!$C$4,"")</f>
        <v/>
      </c>
      <c r="M22" s="38" t="str">
        <f aca="false">IF($L22="","",(($F22+N($G22))*(設定!$C$6+設定!$C$7+設定!$C$9)+設定!$C$8)*設定!$C$4)</f>
        <v/>
      </c>
      <c r="N22" s="38" t="str">
        <f aca="false">IF($L22="","",($L22-$M22)*設定!$C$10)</f>
        <v/>
      </c>
      <c r="O22" s="38" t="str">
        <f aca="false">IF($L22="","",IF($I22&gt;MAX(送料表!$B$5:$B$18),"範囲外",INDEX(送料表!$C$5:$F$18,MATCH($I22,送料表!$A$5:$A$18,1),MATCH($H22,送料表!$C$4:$F$4,0))))</f>
        <v/>
      </c>
      <c r="P22" s="38" t="str">
        <f aca="false">IF($L22="","",$F22*設定!$C$4*$X22+$Y22)</f>
        <v/>
      </c>
      <c r="Q22" s="38" t="str">
        <f aca="false">IF($L22="","",設定!$C$11)</f>
        <v/>
      </c>
      <c r="R22" s="38" t="str">
        <f aca="false">IF(OR($L22="",NOT(ISNUMBER($O22))),"",N($D22)+N($E22)+$M22+$N22+$O22+$P22+$Q22)</f>
        <v/>
      </c>
      <c r="S22" s="39" t="str">
        <f aca="false">IF($R22="","",$L22-$R22)</f>
        <v/>
      </c>
      <c r="T22" s="40" t="str">
        <f aca="false">IF(OR($S22="",N($L22)=0),"",$S22/$L22)</f>
        <v/>
      </c>
      <c r="U22" s="41" t="str">
        <f aca="false">IF(OR($L22="",NOT(ISNUMBER($O22))),"",IF(設定!$C$16-$X22&lt;=0,"設定を確認",MAX((設定!$C$8*設定!$C$4*(1-設定!$C$10)+$Y22+N($D22)+N($E22)+$O22+$Q22-N($G22)*設定!$C$4*設定!$C$16)/(設定!$C$4*(設定!$C$16-$X22)),(設定!$C$8*設定!$C$4*(1-設定!$C$10)+$Y22+N($D22)+N($E22)+$O22+$Q22+設定!$C$13-N($G22)*設定!$C$4*設定!$C$15)/(設定!$C$4*(設定!$C$15-$X22)))))</f>
        <v/>
      </c>
      <c r="V22" s="42" t="str">
        <f aca="false">IF($L22="","",IF(NOT(ISNUMBER($O22)),"要確認：重量が送料表の範囲外",IF(AND($T22&gt;=設定!$C$12,$S22&gt;=設定!$C$13,N($J22)&gt;=設定!$C$14),"◎ 出品候補",IF(AND($T22&gt;=設定!$C$12,$S22&gt;=設定!$C$13),"△ 利益OK・販売実績が不足","× 見送り"))))</f>
        <v/>
      </c>
      <c r="W22" s="3"/>
      <c r="X22" s="43" t="str">
        <f aca="false">IF($H22="","",INDEX(設定!$C$20:$C$23,MATCH($H22,設定!$A$20:$A$23,0)))</f>
        <v/>
      </c>
      <c r="Y22" s="44" t="str">
        <f aca="false">IF($H22="","",INDEX(設定!$D$20:$D$23,MATCH($H22,設定!$A$20:$A$23,0))+INDEX(設定!$E$20:$E$23,MATCH($H22,設定!$A$20:$A$23,0)))</f>
        <v/>
      </c>
    </row>
    <row r="23" customFormat="false" ht="15" hidden="false" customHeight="false" outlineLevel="0" collapsed="false">
      <c r="A23" s="34" t="n">
        <v>19</v>
      </c>
      <c r="B23" s="3"/>
      <c r="C23" s="3"/>
      <c r="D23" s="36"/>
      <c r="E23" s="36"/>
      <c r="F23" s="37"/>
      <c r="G23" s="37"/>
      <c r="H23" s="35"/>
      <c r="I23" s="36"/>
      <c r="J23" s="36"/>
      <c r="K23" s="3"/>
      <c r="L23" s="38" t="str">
        <f aca="false">IF(AND($D23&lt;&gt;"",$F23&lt;&gt;"",$H23&lt;&gt;"",$I23&lt;&gt;""),($F23+N($G23))*設定!$C$4,"")</f>
        <v/>
      </c>
      <c r="M23" s="38" t="str">
        <f aca="false">IF($L23="","",(($F23+N($G23))*(設定!$C$6+設定!$C$7+設定!$C$9)+設定!$C$8)*設定!$C$4)</f>
        <v/>
      </c>
      <c r="N23" s="38" t="str">
        <f aca="false">IF($L23="","",($L23-$M23)*設定!$C$10)</f>
        <v/>
      </c>
      <c r="O23" s="38" t="str">
        <f aca="false">IF($L23="","",IF($I23&gt;MAX(送料表!$B$5:$B$18),"範囲外",INDEX(送料表!$C$5:$F$18,MATCH($I23,送料表!$A$5:$A$18,1),MATCH($H23,送料表!$C$4:$F$4,0))))</f>
        <v/>
      </c>
      <c r="P23" s="38" t="str">
        <f aca="false">IF($L23="","",$F23*設定!$C$4*$X23+$Y23)</f>
        <v/>
      </c>
      <c r="Q23" s="38" t="str">
        <f aca="false">IF($L23="","",設定!$C$11)</f>
        <v/>
      </c>
      <c r="R23" s="38" t="str">
        <f aca="false">IF(OR($L23="",NOT(ISNUMBER($O23))),"",N($D23)+N($E23)+$M23+$N23+$O23+$P23+$Q23)</f>
        <v/>
      </c>
      <c r="S23" s="39" t="str">
        <f aca="false">IF($R23="","",$L23-$R23)</f>
        <v/>
      </c>
      <c r="T23" s="40" t="str">
        <f aca="false">IF(OR($S23="",N($L23)=0),"",$S23/$L23)</f>
        <v/>
      </c>
      <c r="U23" s="41" t="str">
        <f aca="false">IF(OR($L23="",NOT(ISNUMBER($O23))),"",IF(設定!$C$16-$X23&lt;=0,"設定を確認",MAX((設定!$C$8*設定!$C$4*(1-設定!$C$10)+$Y23+N($D23)+N($E23)+$O23+$Q23-N($G23)*設定!$C$4*設定!$C$16)/(設定!$C$4*(設定!$C$16-$X23)),(設定!$C$8*設定!$C$4*(1-設定!$C$10)+$Y23+N($D23)+N($E23)+$O23+$Q23+設定!$C$13-N($G23)*設定!$C$4*設定!$C$15)/(設定!$C$4*(設定!$C$15-$X23)))))</f>
        <v/>
      </c>
      <c r="V23" s="42" t="str">
        <f aca="false">IF($L23="","",IF(NOT(ISNUMBER($O23)),"要確認：重量が送料表の範囲外",IF(AND($T23&gt;=設定!$C$12,$S23&gt;=設定!$C$13,N($J23)&gt;=設定!$C$14),"◎ 出品候補",IF(AND($T23&gt;=設定!$C$12,$S23&gt;=設定!$C$13),"△ 利益OK・販売実績が不足","× 見送り"))))</f>
        <v/>
      </c>
      <c r="W23" s="3"/>
      <c r="X23" s="43" t="str">
        <f aca="false">IF($H23="","",INDEX(設定!$C$20:$C$23,MATCH($H23,設定!$A$20:$A$23,0)))</f>
        <v/>
      </c>
      <c r="Y23" s="44" t="str">
        <f aca="false">IF($H23="","",INDEX(設定!$D$20:$D$23,MATCH($H23,設定!$A$20:$A$23,0))+INDEX(設定!$E$20:$E$23,MATCH($H23,設定!$A$20:$A$23,0)))</f>
        <v/>
      </c>
    </row>
    <row r="24" customFormat="false" ht="15" hidden="false" customHeight="false" outlineLevel="0" collapsed="false">
      <c r="A24" s="34" t="n">
        <v>20</v>
      </c>
      <c r="B24" s="3"/>
      <c r="C24" s="3"/>
      <c r="D24" s="36"/>
      <c r="E24" s="36"/>
      <c r="F24" s="37"/>
      <c r="G24" s="37"/>
      <c r="H24" s="35"/>
      <c r="I24" s="36"/>
      <c r="J24" s="36"/>
      <c r="K24" s="3"/>
      <c r="L24" s="38" t="str">
        <f aca="false">IF(AND($D24&lt;&gt;"",$F24&lt;&gt;"",$H24&lt;&gt;"",$I24&lt;&gt;""),($F24+N($G24))*設定!$C$4,"")</f>
        <v/>
      </c>
      <c r="M24" s="38" t="str">
        <f aca="false">IF($L24="","",(($F24+N($G24))*(設定!$C$6+設定!$C$7+設定!$C$9)+設定!$C$8)*設定!$C$4)</f>
        <v/>
      </c>
      <c r="N24" s="38" t="str">
        <f aca="false">IF($L24="","",($L24-$M24)*設定!$C$10)</f>
        <v/>
      </c>
      <c r="O24" s="38" t="str">
        <f aca="false">IF($L24="","",IF($I24&gt;MAX(送料表!$B$5:$B$18),"範囲外",INDEX(送料表!$C$5:$F$18,MATCH($I24,送料表!$A$5:$A$18,1),MATCH($H24,送料表!$C$4:$F$4,0))))</f>
        <v/>
      </c>
      <c r="P24" s="38" t="str">
        <f aca="false">IF($L24="","",$F24*設定!$C$4*$X24+$Y24)</f>
        <v/>
      </c>
      <c r="Q24" s="38" t="str">
        <f aca="false">IF($L24="","",設定!$C$11)</f>
        <v/>
      </c>
      <c r="R24" s="38" t="str">
        <f aca="false">IF(OR($L24="",NOT(ISNUMBER($O24))),"",N($D24)+N($E24)+$M24+$N24+$O24+$P24+$Q24)</f>
        <v/>
      </c>
      <c r="S24" s="39" t="str">
        <f aca="false">IF($R24="","",$L24-$R24)</f>
        <v/>
      </c>
      <c r="T24" s="40" t="str">
        <f aca="false">IF(OR($S24="",N($L24)=0),"",$S24/$L24)</f>
        <v/>
      </c>
      <c r="U24" s="41" t="str">
        <f aca="false">IF(OR($L24="",NOT(ISNUMBER($O24))),"",IF(設定!$C$16-$X24&lt;=0,"設定を確認",MAX((設定!$C$8*設定!$C$4*(1-設定!$C$10)+$Y24+N($D24)+N($E24)+$O24+$Q24-N($G24)*設定!$C$4*設定!$C$16)/(設定!$C$4*(設定!$C$16-$X24)),(設定!$C$8*設定!$C$4*(1-設定!$C$10)+$Y24+N($D24)+N($E24)+$O24+$Q24+設定!$C$13-N($G24)*設定!$C$4*設定!$C$15)/(設定!$C$4*(設定!$C$15-$X24)))))</f>
        <v/>
      </c>
      <c r="V24" s="42" t="str">
        <f aca="false">IF($L24="","",IF(NOT(ISNUMBER($O24)),"要確認：重量が送料表の範囲外",IF(AND($T24&gt;=設定!$C$12,$S24&gt;=設定!$C$13,N($J24)&gt;=設定!$C$14),"◎ 出品候補",IF(AND($T24&gt;=設定!$C$12,$S24&gt;=設定!$C$13),"△ 利益OK・販売実績が不足","× 見送り"))))</f>
        <v/>
      </c>
      <c r="W24" s="3"/>
      <c r="X24" s="43" t="str">
        <f aca="false">IF($H24="","",INDEX(設定!$C$20:$C$23,MATCH($H24,設定!$A$20:$A$23,0)))</f>
        <v/>
      </c>
      <c r="Y24" s="44" t="str">
        <f aca="false">IF($H24="","",INDEX(設定!$D$20:$D$23,MATCH($H24,設定!$A$20:$A$23,0))+INDEX(設定!$E$20:$E$23,MATCH($H24,設定!$A$20:$A$23,0)))</f>
        <v/>
      </c>
    </row>
    <row r="25" customFormat="false" ht="15" hidden="false" customHeight="false" outlineLevel="0" collapsed="false">
      <c r="A25" s="34" t="n">
        <v>21</v>
      </c>
      <c r="B25" s="3"/>
      <c r="C25" s="3"/>
      <c r="D25" s="36"/>
      <c r="E25" s="36"/>
      <c r="F25" s="37"/>
      <c r="G25" s="37"/>
      <c r="H25" s="35"/>
      <c r="I25" s="36"/>
      <c r="J25" s="36"/>
      <c r="K25" s="3"/>
      <c r="L25" s="38" t="str">
        <f aca="false">IF(AND($D25&lt;&gt;"",$F25&lt;&gt;"",$H25&lt;&gt;"",$I25&lt;&gt;""),($F25+N($G25))*設定!$C$4,"")</f>
        <v/>
      </c>
      <c r="M25" s="38" t="str">
        <f aca="false">IF($L25="","",(($F25+N($G25))*(設定!$C$6+設定!$C$7+設定!$C$9)+設定!$C$8)*設定!$C$4)</f>
        <v/>
      </c>
      <c r="N25" s="38" t="str">
        <f aca="false">IF($L25="","",($L25-$M25)*設定!$C$10)</f>
        <v/>
      </c>
      <c r="O25" s="38" t="str">
        <f aca="false">IF($L25="","",IF($I25&gt;MAX(送料表!$B$5:$B$18),"範囲外",INDEX(送料表!$C$5:$F$18,MATCH($I25,送料表!$A$5:$A$18,1),MATCH($H25,送料表!$C$4:$F$4,0))))</f>
        <v/>
      </c>
      <c r="P25" s="38" t="str">
        <f aca="false">IF($L25="","",$F25*設定!$C$4*$X25+$Y25)</f>
        <v/>
      </c>
      <c r="Q25" s="38" t="str">
        <f aca="false">IF($L25="","",設定!$C$11)</f>
        <v/>
      </c>
      <c r="R25" s="38" t="str">
        <f aca="false">IF(OR($L25="",NOT(ISNUMBER($O25))),"",N($D25)+N($E25)+$M25+$N25+$O25+$P25+$Q25)</f>
        <v/>
      </c>
      <c r="S25" s="39" t="str">
        <f aca="false">IF($R25="","",$L25-$R25)</f>
        <v/>
      </c>
      <c r="T25" s="40" t="str">
        <f aca="false">IF(OR($S25="",N($L25)=0),"",$S25/$L25)</f>
        <v/>
      </c>
      <c r="U25" s="41" t="str">
        <f aca="false">IF(OR($L25="",NOT(ISNUMBER($O25))),"",IF(設定!$C$16-$X25&lt;=0,"設定を確認",MAX((設定!$C$8*設定!$C$4*(1-設定!$C$10)+$Y25+N($D25)+N($E25)+$O25+$Q25-N($G25)*設定!$C$4*設定!$C$16)/(設定!$C$4*(設定!$C$16-$X25)),(設定!$C$8*設定!$C$4*(1-設定!$C$10)+$Y25+N($D25)+N($E25)+$O25+$Q25+設定!$C$13-N($G25)*設定!$C$4*設定!$C$15)/(設定!$C$4*(設定!$C$15-$X25)))))</f>
        <v/>
      </c>
      <c r="V25" s="42" t="str">
        <f aca="false">IF($L25="","",IF(NOT(ISNUMBER($O25)),"要確認：重量が送料表の範囲外",IF(AND($T25&gt;=設定!$C$12,$S25&gt;=設定!$C$13,N($J25)&gt;=設定!$C$14),"◎ 出品候補",IF(AND($T25&gt;=設定!$C$12,$S25&gt;=設定!$C$13),"△ 利益OK・販売実績が不足","× 見送り"))))</f>
        <v/>
      </c>
      <c r="W25" s="3"/>
      <c r="X25" s="43" t="str">
        <f aca="false">IF($H25="","",INDEX(設定!$C$20:$C$23,MATCH($H25,設定!$A$20:$A$23,0)))</f>
        <v/>
      </c>
      <c r="Y25" s="44" t="str">
        <f aca="false">IF($H25="","",INDEX(設定!$D$20:$D$23,MATCH($H25,設定!$A$20:$A$23,0))+INDEX(設定!$E$20:$E$23,MATCH($H25,設定!$A$20:$A$23,0)))</f>
        <v/>
      </c>
    </row>
    <row r="26" customFormat="false" ht="15" hidden="false" customHeight="false" outlineLevel="0" collapsed="false">
      <c r="A26" s="34" t="n">
        <v>22</v>
      </c>
      <c r="B26" s="3"/>
      <c r="C26" s="3"/>
      <c r="D26" s="36"/>
      <c r="E26" s="36"/>
      <c r="F26" s="37"/>
      <c r="G26" s="37"/>
      <c r="H26" s="35"/>
      <c r="I26" s="36"/>
      <c r="J26" s="36"/>
      <c r="K26" s="3"/>
      <c r="L26" s="38" t="str">
        <f aca="false">IF(AND($D26&lt;&gt;"",$F26&lt;&gt;"",$H26&lt;&gt;"",$I26&lt;&gt;""),($F26+N($G26))*設定!$C$4,"")</f>
        <v/>
      </c>
      <c r="M26" s="38" t="str">
        <f aca="false">IF($L26="","",(($F26+N($G26))*(設定!$C$6+設定!$C$7+設定!$C$9)+設定!$C$8)*設定!$C$4)</f>
        <v/>
      </c>
      <c r="N26" s="38" t="str">
        <f aca="false">IF($L26="","",($L26-$M26)*設定!$C$10)</f>
        <v/>
      </c>
      <c r="O26" s="38" t="str">
        <f aca="false">IF($L26="","",IF($I26&gt;MAX(送料表!$B$5:$B$18),"範囲外",INDEX(送料表!$C$5:$F$18,MATCH($I26,送料表!$A$5:$A$18,1),MATCH($H26,送料表!$C$4:$F$4,0))))</f>
        <v/>
      </c>
      <c r="P26" s="38" t="str">
        <f aca="false">IF($L26="","",$F26*設定!$C$4*$X26+$Y26)</f>
        <v/>
      </c>
      <c r="Q26" s="38" t="str">
        <f aca="false">IF($L26="","",設定!$C$11)</f>
        <v/>
      </c>
      <c r="R26" s="38" t="str">
        <f aca="false">IF(OR($L26="",NOT(ISNUMBER($O26))),"",N($D26)+N($E26)+$M26+$N26+$O26+$P26+$Q26)</f>
        <v/>
      </c>
      <c r="S26" s="39" t="str">
        <f aca="false">IF($R26="","",$L26-$R26)</f>
        <v/>
      </c>
      <c r="T26" s="40" t="str">
        <f aca="false">IF(OR($S26="",N($L26)=0),"",$S26/$L26)</f>
        <v/>
      </c>
      <c r="U26" s="41" t="str">
        <f aca="false">IF(OR($L26="",NOT(ISNUMBER($O26))),"",IF(設定!$C$16-$X26&lt;=0,"設定を確認",MAX((設定!$C$8*設定!$C$4*(1-設定!$C$10)+$Y26+N($D26)+N($E26)+$O26+$Q26-N($G26)*設定!$C$4*設定!$C$16)/(設定!$C$4*(設定!$C$16-$X26)),(設定!$C$8*設定!$C$4*(1-設定!$C$10)+$Y26+N($D26)+N($E26)+$O26+$Q26+設定!$C$13-N($G26)*設定!$C$4*設定!$C$15)/(設定!$C$4*(設定!$C$15-$X26)))))</f>
        <v/>
      </c>
      <c r="V26" s="42" t="str">
        <f aca="false">IF($L26="","",IF(NOT(ISNUMBER($O26)),"要確認：重量が送料表の範囲外",IF(AND($T26&gt;=設定!$C$12,$S26&gt;=設定!$C$13,N($J26)&gt;=設定!$C$14),"◎ 出品候補",IF(AND($T26&gt;=設定!$C$12,$S26&gt;=設定!$C$13),"△ 利益OK・販売実績が不足","× 見送り"))))</f>
        <v/>
      </c>
      <c r="W26" s="3"/>
      <c r="X26" s="43" t="str">
        <f aca="false">IF($H26="","",INDEX(設定!$C$20:$C$23,MATCH($H26,設定!$A$20:$A$23,0)))</f>
        <v/>
      </c>
      <c r="Y26" s="44" t="str">
        <f aca="false">IF($H26="","",INDEX(設定!$D$20:$D$23,MATCH($H26,設定!$A$20:$A$23,0))+INDEX(設定!$E$20:$E$23,MATCH($H26,設定!$A$20:$A$23,0)))</f>
        <v/>
      </c>
    </row>
    <row r="27" customFormat="false" ht="15" hidden="false" customHeight="false" outlineLevel="0" collapsed="false">
      <c r="A27" s="34" t="n">
        <v>23</v>
      </c>
      <c r="B27" s="3"/>
      <c r="C27" s="3"/>
      <c r="D27" s="36"/>
      <c r="E27" s="36"/>
      <c r="F27" s="37"/>
      <c r="G27" s="37"/>
      <c r="H27" s="35"/>
      <c r="I27" s="36"/>
      <c r="J27" s="36"/>
      <c r="K27" s="3"/>
      <c r="L27" s="38" t="str">
        <f aca="false">IF(AND($D27&lt;&gt;"",$F27&lt;&gt;"",$H27&lt;&gt;"",$I27&lt;&gt;""),($F27+N($G27))*設定!$C$4,"")</f>
        <v/>
      </c>
      <c r="M27" s="38" t="str">
        <f aca="false">IF($L27="","",(($F27+N($G27))*(設定!$C$6+設定!$C$7+設定!$C$9)+設定!$C$8)*設定!$C$4)</f>
        <v/>
      </c>
      <c r="N27" s="38" t="str">
        <f aca="false">IF($L27="","",($L27-$M27)*設定!$C$10)</f>
        <v/>
      </c>
      <c r="O27" s="38" t="str">
        <f aca="false">IF($L27="","",IF($I27&gt;MAX(送料表!$B$5:$B$18),"範囲外",INDEX(送料表!$C$5:$F$18,MATCH($I27,送料表!$A$5:$A$18,1),MATCH($H27,送料表!$C$4:$F$4,0))))</f>
        <v/>
      </c>
      <c r="P27" s="38" t="str">
        <f aca="false">IF($L27="","",$F27*設定!$C$4*$X27+$Y27)</f>
        <v/>
      </c>
      <c r="Q27" s="38" t="str">
        <f aca="false">IF($L27="","",設定!$C$11)</f>
        <v/>
      </c>
      <c r="R27" s="38" t="str">
        <f aca="false">IF(OR($L27="",NOT(ISNUMBER($O27))),"",N($D27)+N($E27)+$M27+$N27+$O27+$P27+$Q27)</f>
        <v/>
      </c>
      <c r="S27" s="39" t="str">
        <f aca="false">IF($R27="","",$L27-$R27)</f>
        <v/>
      </c>
      <c r="T27" s="40" t="str">
        <f aca="false">IF(OR($S27="",N($L27)=0),"",$S27/$L27)</f>
        <v/>
      </c>
      <c r="U27" s="41" t="str">
        <f aca="false">IF(OR($L27="",NOT(ISNUMBER($O27))),"",IF(設定!$C$16-$X27&lt;=0,"設定を確認",MAX((設定!$C$8*設定!$C$4*(1-設定!$C$10)+$Y27+N($D27)+N($E27)+$O27+$Q27-N($G27)*設定!$C$4*設定!$C$16)/(設定!$C$4*(設定!$C$16-$X27)),(設定!$C$8*設定!$C$4*(1-設定!$C$10)+$Y27+N($D27)+N($E27)+$O27+$Q27+設定!$C$13-N($G27)*設定!$C$4*設定!$C$15)/(設定!$C$4*(設定!$C$15-$X27)))))</f>
        <v/>
      </c>
      <c r="V27" s="42" t="str">
        <f aca="false">IF($L27="","",IF(NOT(ISNUMBER($O27)),"要確認：重量が送料表の範囲外",IF(AND($T27&gt;=設定!$C$12,$S27&gt;=設定!$C$13,N($J27)&gt;=設定!$C$14),"◎ 出品候補",IF(AND($T27&gt;=設定!$C$12,$S27&gt;=設定!$C$13),"△ 利益OK・販売実績が不足","× 見送り"))))</f>
        <v/>
      </c>
      <c r="W27" s="3"/>
      <c r="X27" s="43" t="str">
        <f aca="false">IF($H27="","",INDEX(設定!$C$20:$C$23,MATCH($H27,設定!$A$20:$A$23,0)))</f>
        <v/>
      </c>
      <c r="Y27" s="44" t="str">
        <f aca="false">IF($H27="","",INDEX(設定!$D$20:$D$23,MATCH($H27,設定!$A$20:$A$23,0))+INDEX(設定!$E$20:$E$23,MATCH($H27,設定!$A$20:$A$23,0)))</f>
        <v/>
      </c>
    </row>
    <row r="28" customFormat="false" ht="15" hidden="false" customHeight="false" outlineLevel="0" collapsed="false">
      <c r="A28" s="34" t="n">
        <v>24</v>
      </c>
      <c r="B28" s="3"/>
      <c r="C28" s="3"/>
      <c r="D28" s="36"/>
      <c r="E28" s="36"/>
      <c r="F28" s="37"/>
      <c r="G28" s="37"/>
      <c r="H28" s="35"/>
      <c r="I28" s="36"/>
      <c r="J28" s="36"/>
      <c r="K28" s="3"/>
      <c r="L28" s="38" t="str">
        <f aca="false">IF(AND($D28&lt;&gt;"",$F28&lt;&gt;"",$H28&lt;&gt;"",$I28&lt;&gt;""),($F28+N($G28))*設定!$C$4,"")</f>
        <v/>
      </c>
      <c r="M28" s="38" t="str">
        <f aca="false">IF($L28="","",(($F28+N($G28))*(設定!$C$6+設定!$C$7+設定!$C$9)+設定!$C$8)*設定!$C$4)</f>
        <v/>
      </c>
      <c r="N28" s="38" t="str">
        <f aca="false">IF($L28="","",($L28-$M28)*設定!$C$10)</f>
        <v/>
      </c>
      <c r="O28" s="38" t="str">
        <f aca="false">IF($L28="","",IF($I28&gt;MAX(送料表!$B$5:$B$18),"範囲外",INDEX(送料表!$C$5:$F$18,MATCH($I28,送料表!$A$5:$A$18,1),MATCH($H28,送料表!$C$4:$F$4,0))))</f>
        <v/>
      </c>
      <c r="P28" s="38" t="str">
        <f aca="false">IF($L28="","",$F28*設定!$C$4*$X28+$Y28)</f>
        <v/>
      </c>
      <c r="Q28" s="38" t="str">
        <f aca="false">IF($L28="","",設定!$C$11)</f>
        <v/>
      </c>
      <c r="R28" s="38" t="str">
        <f aca="false">IF(OR($L28="",NOT(ISNUMBER($O28))),"",N($D28)+N($E28)+$M28+$N28+$O28+$P28+$Q28)</f>
        <v/>
      </c>
      <c r="S28" s="39" t="str">
        <f aca="false">IF($R28="","",$L28-$R28)</f>
        <v/>
      </c>
      <c r="T28" s="40" t="str">
        <f aca="false">IF(OR($S28="",N($L28)=0),"",$S28/$L28)</f>
        <v/>
      </c>
      <c r="U28" s="41" t="str">
        <f aca="false">IF(OR($L28="",NOT(ISNUMBER($O28))),"",IF(設定!$C$16-$X28&lt;=0,"設定を確認",MAX((設定!$C$8*設定!$C$4*(1-設定!$C$10)+$Y28+N($D28)+N($E28)+$O28+$Q28-N($G28)*設定!$C$4*設定!$C$16)/(設定!$C$4*(設定!$C$16-$X28)),(設定!$C$8*設定!$C$4*(1-設定!$C$10)+$Y28+N($D28)+N($E28)+$O28+$Q28+設定!$C$13-N($G28)*設定!$C$4*設定!$C$15)/(設定!$C$4*(設定!$C$15-$X28)))))</f>
        <v/>
      </c>
      <c r="V28" s="42" t="str">
        <f aca="false">IF($L28="","",IF(NOT(ISNUMBER($O28)),"要確認：重量が送料表の範囲外",IF(AND($T28&gt;=設定!$C$12,$S28&gt;=設定!$C$13,N($J28)&gt;=設定!$C$14),"◎ 出品候補",IF(AND($T28&gt;=設定!$C$12,$S28&gt;=設定!$C$13),"△ 利益OK・販売実績が不足","× 見送り"))))</f>
        <v/>
      </c>
      <c r="W28" s="3"/>
      <c r="X28" s="43" t="str">
        <f aca="false">IF($H28="","",INDEX(設定!$C$20:$C$23,MATCH($H28,設定!$A$20:$A$23,0)))</f>
        <v/>
      </c>
      <c r="Y28" s="44" t="str">
        <f aca="false">IF($H28="","",INDEX(設定!$D$20:$D$23,MATCH($H28,設定!$A$20:$A$23,0))+INDEX(設定!$E$20:$E$23,MATCH($H28,設定!$A$20:$A$23,0)))</f>
        <v/>
      </c>
    </row>
    <row r="29" customFormat="false" ht="15" hidden="false" customHeight="false" outlineLevel="0" collapsed="false">
      <c r="A29" s="34" t="n">
        <v>25</v>
      </c>
      <c r="B29" s="3"/>
      <c r="C29" s="3"/>
      <c r="D29" s="36"/>
      <c r="E29" s="36"/>
      <c r="F29" s="37"/>
      <c r="G29" s="37"/>
      <c r="H29" s="35"/>
      <c r="I29" s="36"/>
      <c r="J29" s="36"/>
      <c r="K29" s="3"/>
      <c r="L29" s="38" t="str">
        <f aca="false">IF(AND($D29&lt;&gt;"",$F29&lt;&gt;"",$H29&lt;&gt;"",$I29&lt;&gt;""),($F29+N($G29))*設定!$C$4,"")</f>
        <v/>
      </c>
      <c r="M29" s="38" t="str">
        <f aca="false">IF($L29="","",(($F29+N($G29))*(設定!$C$6+設定!$C$7+設定!$C$9)+設定!$C$8)*設定!$C$4)</f>
        <v/>
      </c>
      <c r="N29" s="38" t="str">
        <f aca="false">IF($L29="","",($L29-$M29)*設定!$C$10)</f>
        <v/>
      </c>
      <c r="O29" s="38" t="str">
        <f aca="false">IF($L29="","",IF($I29&gt;MAX(送料表!$B$5:$B$18),"範囲外",INDEX(送料表!$C$5:$F$18,MATCH($I29,送料表!$A$5:$A$18,1),MATCH($H29,送料表!$C$4:$F$4,0))))</f>
        <v/>
      </c>
      <c r="P29" s="38" t="str">
        <f aca="false">IF($L29="","",$F29*設定!$C$4*$X29+$Y29)</f>
        <v/>
      </c>
      <c r="Q29" s="38" t="str">
        <f aca="false">IF($L29="","",設定!$C$11)</f>
        <v/>
      </c>
      <c r="R29" s="38" t="str">
        <f aca="false">IF(OR($L29="",NOT(ISNUMBER($O29))),"",N($D29)+N($E29)+$M29+$N29+$O29+$P29+$Q29)</f>
        <v/>
      </c>
      <c r="S29" s="39" t="str">
        <f aca="false">IF($R29="","",$L29-$R29)</f>
        <v/>
      </c>
      <c r="T29" s="40" t="str">
        <f aca="false">IF(OR($S29="",N($L29)=0),"",$S29/$L29)</f>
        <v/>
      </c>
      <c r="U29" s="41" t="str">
        <f aca="false">IF(OR($L29="",NOT(ISNUMBER($O29))),"",IF(設定!$C$16-$X29&lt;=0,"設定を確認",MAX((設定!$C$8*設定!$C$4*(1-設定!$C$10)+$Y29+N($D29)+N($E29)+$O29+$Q29-N($G29)*設定!$C$4*設定!$C$16)/(設定!$C$4*(設定!$C$16-$X29)),(設定!$C$8*設定!$C$4*(1-設定!$C$10)+$Y29+N($D29)+N($E29)+$O29+$Q29+設定!$C$13-N($G29)*設定!$C$4*設定!$C$15)/(設定!$C$4*(設定!$C$15-$X29)))))</f>
        <v/>
      </c>
      <c r="V29" s="42" t="str">
        <f aca="false">IF($L29="","",IF(NOT(ISNUMBER($O29)),"要確認：重量が送料表の範囲外",IF(AND($T29&gt;=設定!$C$12,$S29&gt;=設定!$C$13,N($J29)&gt;=設定!$C$14),"◎ 出品候補",IF(AND($T29&gt;=設定!$C$12,$S29&gt;=設定!$C$13),"△ 利益OK・販売実績が不足","× 見送り"))))</f>
        <v/>
      </c>
      <c r="W29" s="3"/>
      <c r="X29" s="43" t="str">
        <f aca="false">IF($H29="","",INDEX(設定!$C$20:$C$23,MATCH($H29,設定!$A$20:$A$23,0)))</f>
        <v/>
      </c>
      <c r="Y29" s="44" t="str">
        <f aca="false">IF($H29="","",INDEX(設定!$D$20:$D$23,MATCH($H29,設定!$A$20:$A$23,0))+INDEX(設定!$E$20:$E$23,MATCH($H29,設定!$A$20:$A$23,0)))</f>
        <v/>
      </c>
    </row>
    <row r="30" customFormat="false" ht="15" hidden="false" customHeight="false" outlineLevel="0" collapsed="false">
      <c r="A30" s="34" t="n">
        <v>26</v>
      </c>
      <c r="B30" s="3"/>
      <c r="C30" s="3"/>
      <c r="D30" s="36"/>
      <c r="E30" s="36"/>
      <c r="F30" s="37"/>
      <c r="G30" s="37"/>
      <c r="H30" s="35"/>
      <c r="I30" s="36"/>
      <c r="J30" s="36"/>
      <c r="K30" s="3"/>
      <c r="L30" s="38" t="str">
        <f aca="false">IF(AND($D30&lt;&gt;"",$F30&lt;&gt;"",$H30&lt;&gt;"",$I30&lt;&gt;""),($F30+N($G30))*設定!$C$4,"")</f>
        <v/>
      </c>
      <c r="M30" s="38" t="str">
        <f aca="false">IF($L30="","",(($F30+N($G30))*(設定!$C$6+設定!$C$7+設定!$C$9)+設定!$C$8)*設定!$C$4)</f>
        <v/>
      </c>
      <c r="N30" s="38" t="str">
        <f aca="false">IF($L30="","",($L30-$M30)*設定!$C$10)</f>
        <v/>
      </c>
      <c r="O30" s="38" t="str">
        <f aca="false">IF($L30="","",IF($I30&gt;MAX(送料表!$B$5:$B$18),"範囲外",INDEX(送料表!$C$5:$F$18,MATCH($I30,送料表!$A$5:$A$18,1),MATCH($H30,送料表!$C$4:$F$4,0))))</f>
        <v/>
      </c>
      <c r="P30" s="38" t="str">
        <f aca="false">IF($L30="","",$F30*設定!$C$4*$X30+$Y30)</f>
        <v/>
      </c>
      <c r="Q30" s="38" t="str">
        <f aca="false">IF($L30="","",設定!$C$11)</f>
        <v/>
      </c>
      <c r="R30" s="38" t="str">
        <f aca="false">IF(OR($L30="",NOT(ISNUMBER($O30))),"",N($D30)+N($E30)+$M30+$N30+$O30+$P30+$Q30)</f>
        <v/>
      </c>
      <c r="S30" s="39" t="str">
        <f aca="false">IF($R30="","",$L30-$R30)</f>
        <v/>
      </c>
      <c r="T30" s="40" t="str">
        <f aca="false">IF(OR($S30="",N($L30)=0),"",$S30/$L30)</f>
        <v/>
      </c>
      <c r="U30" s="41" t="str">
        <f aca="false">IF(OR($L30="",NOT(ISNUMBER($O30))),"",IF(設定!$C$16-$X30&lt;=0,"設定を確認",MAX((設定!$C$8*設定!$C$4*(1-設定!$C$10)+$Y30+N($D30)+N($E30)+$O30+$Q30-N($G30)*設定!$C$4*設定!$C$16)/(設定!$C$4*(設定!$C$16-$X30)),(設定!$C$8*設定!$C$4*(1-設定!$C$10)+$Y30+N($D30)+N($E30)+$O30+$Q30+設定!$C$13-N($G30)*設定!$C$4*設定!$C$15)/(設定!$C$4*(設定!$C$15-$X30)))))</f>
        <v/>
      </c>
      <c r="V30" s="42" t="str">
        <f aca="false">IF($L30="","",IF(NOT(ISNUMBER($O30)),"要確認：重量が送料表の範囲外",IF(AND($T30&gt;=設定!$C$12,$S30&gt;=設定!$C$13,N($J30)&gt;=設定!$C$14),"◎ 出品候補",IF(AND($T30&gt;=設定!$C$12,$S30&gt;=設定!$C$13),"△ 利益OK・販売実績が不足","× 見送り"))))</f>
        <v/>
      </c>
      <c r="W30" s="3"/>
      <c r="X30" s="43" t="str">
        <f aca="false">IF($H30="","",INDEX(設定!$C$20:$C$23,MATCH($H30,設定!$A$20:$A$23,0)))</f>
        <v/>
      </c>
      <c r="Y30" s="44" t="str">
        <f aca="false">IF($H30="","",INDEX(設定!$D$20:$D$23,MATCH($H30,設定!$A$20:$A$23,0))+INDEX(設定!$E$20:$E$23,MATCH($H30,設定!$A$20:$A$23,0)))</f>
        <v/>
      </c>
    </row>
    <row r="31" customFormat="false" ht="15" hidden="false" customHeight="false" outlineLevel="0" collapsed="false">
      <c r="A31" s="34" t="n">
        <v>27</v>
      </c>
      <c r="B31" s="3"/>
      <c r="C31" s="3"/>
      <c r="D31" s="36"/>
      <c r="E31" s="36"/>
      <c r="F31" s="37"/>
      <c r="G31" s="37"/>
      <c r="H31" s="35"/>
      <c r="I31" s="36"/>
      <c r="J31" s="36"/>
      <c r="K31" s="3"/>
      <c r="L31" s="38" t="str">
        <f aca="false">IF(AND($D31&lt;&gt;"",$F31&lt;&gt;"",$H31&lt;&gt;"",$I31&lt;&gt;""),($F31+N($G31))*設定!$C$4,"")</f>
        <v/>
      </c>
      <c r="M31" s="38" t="str">
        <f aca="false">IF($L31="","",(($F31+N($G31))*(設定!$C$6+設定!$C$7+設定!$C$9)+設定!$C$8)*設定!$C$4)</f>
        <v/>
      </c>
      <c r="N31" s="38" t="str">
        <f aca="false">IF($L31="","",($L31-$M31)*設定!$C$10)</f>
        <v/>
      </c>
      <c r="O31" s="38" t="str">
        <f aca="false">IF($L31="","",IF($I31&gt;MAX(送料表!$B$5:$B$18),"範囲外",INDEX(送料表!$C$5:$F$18,MATCH($I31,送料表!$A$5:$A$18,1),MATCH($H31,送料表!$C$4:$F$4,0))))</f>
        <v/>
      </c>
      <c r="P31" s="38" t="str">
        <f aca="false">IF($L31="","",$F31*設定!$C$4*$X31+$Y31)</f>
        <v/>
      </c>
      <c r="Q31" s="38" t="str">
        <f aca="false">IF($L31="","",設定!$C$11)</f>
        <v/>
      </c>
      <c r="R31" s="38" t="str">
        <f aca="false">IF(OR($L31="",NOT(ISNUMBER($O31))),"",N($D31)+N($E31)+$M31+$N31+$O31+$P31+$Q31)</f>
        <v/>
      </c>
      <c r="S31" s="39" t="str">
        <f aca="false">IF($R31="","",$L31-$R31)</f>
        <v/>
      </c>
      <c r="T31" s="40" t="str">
        <f aca="false">IF(OR($S31="",N($L31)=0),"",$S31/$L31)</f>
        <v/>
      </c>
      <c r="U31" s="41" t="str">
        <f aca="false">IF(OR($L31="",NOT(ISNUMBER($O31))),"",IF(設定!$C$16-$X31&lt;=0,"設定を確認",MAX((設定!$C$8*設定!$C$4*(1-設定!$C$10)+$Y31+N($D31)+N($E31)+$O31+$Q31-N($G31)*設定!$C$4*設定!$C$16)/(設定!$C$4*(設定!$C$16-$X31)),(設定!$C$8*設定!$C$4*(1-設定!$C$10)+$Y31+N($D31)+N($E31)+$O31+$Q31+設定!$C$13-N($G31)*設定!$C$4*設定!$C$15)/(設定!$C$4*(設定!$C$15-$X31)))))</f>
        <v/>
      </c>
      <c r="V31" s="42" t="str">
        <f aca="false">IF($L31="","",IF(NOT(ISNUMBER($O31)),"要確認：重量が送料表の範囲外",IF(AND($T31&gt;=設定!$C$12,$S31&gt;=設定!$C$13,N($J31)&gt;=設定!$C$14),"◎ 出品候補",IF(AND($T31&gt;=設定!$C$12,$S31&gt;=設定!$C$13),"△ 利益OK・販売実績が不足","× 見送り"))))</f>
        <v/>
      </c>
      <c r="W31" s="3"/>
      <c r="X31" s="43" t="str">
        <f aca="false">IF($H31="","",INDEX(設定!$C$20:$C$23,MATCH($H31,設定!$A$20:$A$23,0)))</f>
        <v/>
      </c>
      <c r="Y31" s="44" t="str">
        <f aca="false">IF($H31="","",INDEX(設定!$D$20:$D$23,MATCH($H31,設定!$A$20:$A$23,0))+INDEX(設定!$E$20:$E$23,MATCH($H31,設定!$A$20:$A$23,0)))</f>
        <v/>
      </c>
    </row>
    <row r="32" customFormat="false" ht="15" hidden="false" customHeight="false" outlineLevel="0" collapsed="false">
      <c r="A32" s="34" t="n">
        <v>28</v>
      </c>
      <c r="B32" s="3"/>
      <c r="C32" s="3"/>
      <c r="D32" s="36"/>
      <c r="E32" s="36"/>
      <c r="F32" s="37"/>
      <c r="G32" s="37"/>
      <c r="H32" s="35"/>
      <c r="I32" s="36"/>
      <c r="J32" s="36"/>
      <c r="K32" s="3"/>
      <c r="L32" s="38" t="str">
        <f aca="false">IF(AND($D32&lt;&gt;"",$F32&lt;&gt;"",$H32&lt;&gt;"",$I32&lt;&gt;""),($F32+N($G32))*設定!$C$4,"")</f>
        <v/>
      </c>
      <c r="M32" s="38" t="str">
        <f aca="false">IF($L32="","",(($F32+N($G32))*(設定!$C$6+設定!$C$7+設定!$C$9)+設定!$C$8)*設定!$C$4)</f>
        <v/>
      </c>
      <c r="N32" s="38" t="str">
        <f aca="false">IF($L32="","",($L32-$M32)*設定!$C$10)</f>
        <v/>
      </c>
      <c r="O32" s="38" t="str">
        <f aca="false">IF($L32="","",IF($I32&gt;MAX(送料表!$B$5:$B$18),"範囲外",INDEX(送料表!$C$5:$F$18,MATCH($I32,送料表!$A$5:$A$18,1),MATCH($H32,送料表!$C$4:$F$4,0))))</f>
        <v/>
      </c>
      <c r="P32" s="38" t="str">
        <f aca="false">IF($L32="","",$F32*設定!$C$4*$X32+$Y32)</f>
        <v/>
      </c>
      <c r="Q32" s="38" t="str">
        <f aca="false">IF($L32="","",設定!$C$11)</f>
        <v/>
      </c>
      <c r="R32" s="38" t="str">
        <f aca="false">IF(OR($L32="",NOT(ISNUMBER($O32))),"",N($D32)+N($E32)+$M32+$N32+$O32+$P32+$Q32)</f>
        <v/>
      </c>
      <c r="S32" s="39" t="str">
        <f aca="false">IF($R32="","",$L32-$R32)</f>
        <v/>
      </c>
      <c r="T32" s="40" t="str">
        <f aca="false">IF(OR($S32="",N($L32)=0),"",$S32/$L32)</f>
        <v/>
      </c>
      <c r="U32" s="41" t="str">
        <f aca="false">IF(OR($L32="",NOT(ISNUMBER($O32))),"",IF(設定!$C$16-$X32&lt;=0,"設定を確認",MAX((設定!$C$8*設定!$C$4*(1-設定!$C$10)+$Y32+N($D32)+N($E32)+$O32+$Q32-N($G32)*設定!$C$4*設定!$C$16)/(設定!$C$4*(設定!$C$16-$X32)),(設定!$C$8*設定!$C$4*(1-設定!$C$10)+$Y32+N($D32)+N($E32)+$O32+$Q32+設定!$C$13-N($G32)*設定!$C$4*設定!$C$15)/(設定!$C$4*(設定!$C$15-$X32)))))</f>
        <v/>
      </c>
      <c r="V32" s="42" t="str">
        <f aca="false">IF($L32="","",IF(NOT(ISNUMBER($O32)),"要確認：重量が送料表の範囲外",IF(AND($T32&gt;=設定!$C$12,$S32&gt;=設定!$C$13,N($J32)&gt;=設定!$C$14),"◎ 出品候補",IF(AND($T32&gt;=設定!$C$12,$S32&gt;=設定!$C$13),"△ 利益OK・販売実績が不足","× 見送り"))))</f>
        <v/>
      </c>
      <c r="W32" s="3"/>
      <c r="X32" s="43" t="str">
        <f aca="false">IF($H32="","",INDEX(設定!$C$20:$C$23,MATCH($H32,設定!$A$20:$A$23,0)))</f>
        <v/>
      </c>
      <c r="Y32" s="44" t="str">
        <f aca="false">IF($H32="","",INDEX(設定!$D$20:$D$23,MATCH($H32,設定!$A$20:$A$23,0))+INDEX(設定!$E$20:$E$23,MATCH($H32,設定!$A$20:$A$23,0)))</f>
        <v/>
      </c>
    </row>
    <row r="33" customFormat="false" ht="15" hidden="false" customHeight="false" outlineLevel="0" collapsed="false">
      <c r="A33" s="34" t="n">
        <v>29</v>
      </c>
      <c r="B33" s="3"/>
      <c r="C33" s="3"/>
      <c r="D33" s="36"/>
      <c r="E33" s="36"/>
      <c r="F33" s="37"/>
      <c r="G33" s="37"/>
      <c r="H33" s="35"/>
      <c r="I33" s="36"/>
      <c r="J33" s="36"/>
      <c r="K33" s="3"/>
      <c r="L33" s="38" t="str">
        <f aca="false">IF(AND($D33&lt;&gt;"",$F33&lt;&gt;"",$H33&lt;&gt;"",$I33&lt;&gt;""),($F33+N($G33))*設定!$C$4,"")</f>
        <v/>
      </c>
      <c r="M33" s="38" t="str">
        <f aca="false">IF($L33="","",(($F33+N($G33))*(設定!$C$6+設定!$C$7+設定!$C$9)+設定!$C$8)*設定!$C$4)</f>
        <v/>
      </c>
      <c r="N33" s="38" t="str">
        <f aca="false">IF($L33="","",($L33-$M33)*設定!$C$10)</f>
        <v/>
      </c>
      <c r="O33" s="38" t="str">
        <f aca="false">IF($L33="","",IF($I33&gt;MAX(送料表!$B$5:$B$18),"範囲外",INDEX(送料表!$C$5:$F$18,MATCH($I33,送料表!$A$5:$A$18,1),MATCH($H33,送料表!$C$4:$F$4,0))))</f>
        <v/>
      </c>
      <c r="P33" s="38" t="str">
        <f aca="false">IF($L33="","",$F33*設定!$C$4*$X33+$Y33)</f>
        <v/>
      </c>
      <c r="Q33" s="38" t="str">
        <f aca="false">IF($L33="","",設定!$C$11)</f>
        <v/>
      </c>
      <c r="R33" s="38" t="str">
        <f aca="false">IF(OR($L33="",NOT(ISNUMBER($O33))),"",N($D33)+N($E33)+$M33+$N33+$O33+$P33+$Q33)</f>
        <v/>
      </c>
      <c r="S33" s="39" t="str">
        <f aca="false">IF($R33="","",$L33-$R33)</f>
        <v/>
      </c>
      <c r="T33" s="40" t="str">
        <f aca="false">IF(OR($S33="",N($L33)=0),"",$S33/$L33)</f>
        <v/>
      </c>
      <c r="U33" s="41" t="str">
        <f aca="false">IF(OR($L33="",NOT(ISNUMBER($O33))),"",IF(設定!$C$16-$X33&lt;=0,"設定を確認",MAX((設定!$C$8*設定!$C$4*(1-設定!$C$10)+$Y33+N($D33)+N($E33)+$O33+$Q33-N($G33)*設定!$C$4*設定!$C$16)/(設定!$C$4*(設定!$C$16-$X33)),(設定!$C$8*設定!$C$4*(1-設定!$C$10)+$Y33+N($D33)+N($E33)+$O33+$Q33+設定!$C$13-N($G33)*設定!$C$4*設定!$C$15)/(設定!$C$4*(設定!$C$15-$X33)))))</f>
        <v/>
      </c>
      <c r="V33" s="42" t="str">
        <f aca="false">IF($L33="","",IF(NOT(ISNUMBER($O33)),"要確認：重量が送料表の範囲外",IF(AND($T33&gt;=設定!$C$12,$S33&gt;=設定!$C$13,N($J33)&gt;=設定!$C$14),"◎ 出品候補",IF(AND($T33&gt;=設定!$C$12,$S33&gt;=設定!$C$13),"△ 利益OK・販売実績が不足","× 見送り"))))</f>
        <v/>
      </c>
      <c r="W33" s="3"/>
      <c r="X33" s="43" t="str">
        <f aca="false">IF($H33="","",INDEX(設定!$C$20:$C$23,MATCH($H33,設定!$A$20:$A$23,0)))</f>
        <v/>
      </c>
      <c r="Y33" s="44" t="str">
        <f aca="false">IF($H33="","",INDEX(設定!$D$20:$D$23,MATCH($H33,設定!$A$20:$A$23,0))+INDEX(設定!$E$20:$E$23,MATCH($H33,設定!$A$20:$A$23,0)))</f>
        <v/>
      </c>
    </row>
    <row r="34" customFormat="false" ht="15" hidden="false" customHeight="false" outlineLevel="0" collapsed="false">
      <c r="A34" s="34" t="n">
        <v>30</v>
      </c>
      <c r="B34" s="3"/>
      <c r="C34" s="3"/>
      <c r="D34" s="36"/>
      <c r="E34" s="36"/>
      <c r="F34" s="37"/>
      <c r="G34" s="37"/>
      <c r="H34" s="35"/>
      <c r="I34" s="36"/>
      <c r="J34" s="36"/>
      <c r="K34" s="3"/>
      <c r="L34" s="38" t="str">
        <f aca="false">IF(AND($D34&lt;&gt;"",$F34&lt;&gt;"",$H34&lt;&gt;"",$I34&lt;&gt;""),($F34+N($G34))*設定!$C$4,"")</f>
        <v/>
      </c>
      <c r="M34" s="38" t="str">
        <f aca="false">IF($L34="","",(($F34+N($G34))*(設定!$C$6+設定!$C$7+設定!$C$9)+設定!$C$8)*設定!$C$4)</f>
        <v/>
      </c>
      <c r="N34" s="38" t="str">
        <f aca="false">IF($L34="","",($L34-$M34)*設定!$C$10)</f>
        <v/>
      </c>
      <c r="O34" s="38" t="str">
        <f aca="false">IF($L34="","",IF($I34&gt;MAX(送料表!$B$5:$B$18),"範囲外",INDEX(送料表!$C$5:$F$18,MATCH($I34,送料表!$A$5:$A$18,1),MATCH($H34,送料表!$C$4:$F$4,0))))</f>
        <v/>
      </c>
      <c r="P34" s="38" t="str">
        <f aca="false">IF($L34="","",$F34*設定!$C$4*$X34+$Y34)</f>
        <v/>
      </c>
      <c r="Q34" s="38" t="str">
        <f aca="false">IF($L34="","",設定!$C$11)</f>
        <v/>
      </c>
      <c r="R34" s="38" t="str">
        <f aca="false">IF(OR($L34="",NOT(ISNUMBER($O34))),"",N($D34)+N($E34)+$M34+$N34+$O34+$P34+$Q34)</f>
        <v/>
      </c>
      <c r="S34" s="39" t="str">
        <f aca="false">IF($R34="","",$L34-$R34)</f>
        <v/>
      </c>
      <c r="T34" s="40" t="str">
        <f aca="false">IF(OR($S34="",N($L34)=0),"",$S34/$L34)</f>
        <v/>
      </c>
      <c r="U34" s="41" t="str">
        <f aca="false">IF(OR($L34="",NOT(ISNUMBER($O34))),"",IF(設定!$C$16-$X34&lt;=0,"設定を確認",MAX((設定!$C$8*設定!$C$4*(1-設定!$C$10)+$Y34+N($D34)+N($E34)+$O34+$Q34-N($G34)*設定!$C$4*設定!$C$16)/(設定!$C$4*(設定!$C$16-$X34)),(設定!$C$8*設定!$C$4*(1-設定!$C$10)+$Y34+N($D34)+N($E34)+$O34+$Q34+設定!$C$13-N($G34)*設定!$C$4*設定!$C$15)/(設定!$C$4*(設定!$C$15-$X34)))))</f>
        <v/>
      </c>
      <c r="V34" s="42" t="str">
        <f aca="false">IF($L34="","",IF(NOT(ISNUMBER($O34)),"要確認：重量が送料表の範囲外",IF(AND($T34&gt;=設定!$C$12,$S34&gt;=設定!$C$13,N($J34)&gt;=設定!$C$14),"◎ 出品候補",IF(AND($T34&gt;=設定!$C$12,$S34&gt;=設定!$C$13),"△ 利益OK・販売実績が不足","× 見送り"))))</f>
        <v/>
      </c>
      <c r="W34" s="3"/>
      <c r="X34" s="43" t="str">
        <f aca="false">IF($H34="","",INDEX(設定!$C$20:$C$23,MATCH($H34,設定!$A$20:$A$23,0)))</f>
        <v/>
      </c>
      <c r="Y34" s="44" t="str">
        <f aca="false">IF($H34="","",INDEX(設定!$D$20:$D$23,MATCH($H34,設定!$A$20:$A$23,0))+INDEX(設定!$E$20:$E$23,MATCH($H34,設定!$A$20:$A$23,0)))</f>
        <v/>
      </c>
    </row>
    <row r="35" customFormat="false" ht="15" hidden="false" customHeight="false" outlineLevel="0" collapsed="false">
      <c r="A35" s="34" t="n">
        <v>31</v>
      </c>
      <c r="B35" s="3"/>
      <c r="C35" s="3"/>
      <c r="D35" s="36"/>
      <c r="E35" s="36"/>
      <c r="F35" s="37"/>
      <c r="G35" s="37"/>
      <c r="H35" s="35"/>
      <c r="I35" s="36"/>
      <c r="J35" s="36"/>
      <c r="K35" s="3"/>
      <c r="L35" s="38" t="str">
        <f aca="false">IF(AND($D35&lt;&gt;"",$F35&lt;&gt;"",$H35&lt;&gt;"",$I35&lt;&gt;""),($F35+N($G35))*設定!$C$4,"")</f>
        <v/>
      </c>
      <c r="M35" s="38" t="str">
        <f aca="false">IF($L35="","",(($F35+N($G35))*(設定!$C$6+設定!$C$7+設定!$C$9)+設定!$C$8)*設定!$C$4)</f>
        <v/>
      </c>
      <c r="N35" s="38" t="str">
        <f aca="false">IF($L35="","",($L35-$M35)*設定!$C$10)</f>
        <v/>
      </c>
      <c r="O35" s="38" t="str">
        <f aca="false">IF($L35="","",IF($I35&gt;MAX(送料表!$B$5:$B$18),"範囲外",INDEX(送料表!$C$5:$F$18,MATCH($I35,送料表!$A$5:$A$18,1),MATCH($H35,送料表!$C$4:$F$4,0))))</f>
        <v/>
      </c>
      <c r="P35" s="38" t="str">
        <f aca="false">IF($L35="","",$F35*設定!$C$4*$X35+$Y35)</f>
        <v/>
      </c>
      <c r="Q35" s="38" t="str">
        <f aca="false">IF($L35="","",設定!$C$11)</f>
        <v/>
      </c>
      <c r="R35" s="38" t="str">
        <f aca="false">IF(OR($L35="",NOT(ISNUMBER($O35))),"",N($D35)+N($E35)+$M35+$N35+$O35+$P35+$Q35)</f>
        <v/>
      </c>
      <c r="S35" s="39" t="str">
        <f aca="false">IF($R35="","",$L35-$R35)</f>
        <v/>
      </c>
      <c r="T35" s="40" t="str">
        <f aca="false">IF(OR($S35="",N($L35)=0),"",$S35/$L35)</f>
        <v/>
      </c>
      <c r="U35" s="41" t="str">
        <f aca="false">IF(OR($L35="",NOT(ISNUMBER($O35))),"",IF(設定!$C$16-$X35&lt;=0,"設定を確認",MAX((設定!$C$8*設定!$C$4*(1-設定!$C$10)+$Y35+N($D35)+N($E35)+$O35+$Q35-N($G35)*設定!$C$4*設定!$C$16)/(設定!$C$4*(設定!$C$16-$X35)),(設定!$C$8*設定!$C$4*(1-設定!$C$10)+$Y35+N($D35)+N($E35)+$O35+$Q35+設定!$C$13-N($G35)*設定!$C$4*設定!$C$15)/(設定!$C$4*(設定!$C$15-$X35)))))</f>
        <v/>
      </c>
      <c r="V35" s="42" t="str">
        <f aca="false">IF($L35="","",IF(NOT(ISNUMBER($O35)),"要確認：重量が送料表の範囲外",IF(AND($T35&gt;=設定!$C$12,$S35&gt;=設定!$C$13,N($J35)&gt;=設定!$C$14),"◎ 出品候補",IF(AND($T35&gt;=設定!$C$12,$S35&gt;=設定!$C$13),"△ 利益OK・販売実績が不足","× 見送り"))))</f>
        <v/>
      </c>
      <c r="W35" s="3"/>
      <c r="X35" s="43" t="str">
        <f aca="false">IF($H35="","",INDEX(設定!$C$20:$C$23,MATCH($H35,設定!$A$20:$A$23,0)))</f>
        <v/>
      </c>
      <c r="Y35" s="44" t="str">
        <f aca="false">IF($H35="","",INDEX(設定!$D$20:$D$23,MATCH($H35,設定!$A$20:$A$23,0))+INDEX(設定!$E$20:$E$23,MATCH($H35,設定!$A$20:$A$23,0)))</f>
        <v/>
      </c>
    </row>
    <row r="36" customFormat="false" ht="15" hidden="false" customHeight="false" outlineLevel="0" collapsed="false">
      <c r="A36" s="34" t="n">
        <v>32</v>
      </c>
      <c r="B36" s="3"/>
      <c r="C36" s="3"/>
      <c r="D36" s="36"/>
      <c r="E36" s="36"/>
      <c r="F36" s="37"/>
      <c r="G36" s="37"/>
      <c r="H36" s="35"/>
      <c r="I36" s="36"/>
      <c r="J36" s="36"/>
      <c r="K36" s="3"/>
      <c r="L36" s="38" t="str">
        <f aca="false">IF(AND($D36&lt;&gt;"",$F36&lt;&gt;"",$H36&lt;&gt;"",$I36&lt;&gt;""),($F36+N($G36))*設定!$C$4,"")</f>
        <v/>
      </c>
      <c r="M36" s="38" t="str">
        <f aca="false">IF($L36="","",(($F36+N($G36))*(設定!$C$6+設定!$C$7+設定!$C$9)+設定!$C$8)*設定!$C$4)</f>
        <v/>
      </c>
      <c r="N36" s="38" t="str">
        <f aca="false">IF($L36="","",($L36-$M36)*設定!$C$10)</f>
        <v/>
      </c>
      <c r="O36" s="38" t="str">
        <f aca="false">IF($L36="","",IF($I36&gt;MAX(送料表!$B$5:$B$18),"範囲外",INDEX(送料表!$C$5:$F$18,MATCH($I36,送料表!$A$5:$A$18,1),MATCH($H36,送料表!$C$4:$F$4,0))))</f>
        <v/>
      </c>
      <c r="P36" s="38" t="str">
        <f aca="false">IF($L36="","",$F36*設定!$C$4*$X36+$Y36)</f>
        <v/>
      </c>
      <c r="Q36" s="38" t="str">
        <f aca="false">IF($L36="","",設定!$C$11)</f>
        <v/>
      </c>
      <c r="R36" s="38" t="str">
        <f aca="false">IF(OR($L36="",NOT(ISNUMBER($O36))),"",N($D36)+N($E36)+$M36+$N36+$O36+$P36+$Q36)</f>
        <v/>
      </c>
      <c r="S36" s="39" t="str">
        <f aca="false">IF($R36="","",$L36-$R36)</f>
        <v/>
      </c>
      <c r="T36" s="40" t="str">
        <f aca="false">IF(OR($S36="",N($L36)=0),"",$S36/$L36)</f>
        <v/>
      </c>
      <c r="U36" s="41" t="str">
        <f aca="false">IF(OR($L36="",NOT(ISNUMBER($O36))),"",IF(設定!$C$16-$X36&lt;=0,"設定を確認",MAX((設定!$C$8*設定!$C$4*(1-設定!$C$10)+$Y36+N($D36)+N($E36)+$O36+$Q36-N($G36)*設定!$C$4*設定!$C$16)/(設定!$C$4*(設定!$C$16-$X36)),(設定!$C$8*設定!$C$4*(1-設定!$C$10)+$Y36+N($D36)+N($E36)+$O36+$Q36+設定!$C$13-N($G36)*設定!$C$4*設定!$C$15)/(設定!$C$4*(設定!$C$15-$X36)))))</f>
        <v/>
      </c>
      <c r="V36" s="42" t="str">
        <f aca="false">IF($L36="","",IF(NOT(ISNUMBER($O36)),"要確認：重量が送料表の範囲外",IF(AND($T36&gt;=設定!$C$12,$S36&gt;=設定!$C$13,N($J36)&gt;=設定!$C$14),"◎ 出品候補",IF(AND($T36&gt;=設定!$C$12,$S36&gt;=設定!$C$13),"△ 利益OK・販売実績が不足","× 見送り"))))</f>
        <v/>
      </c>
      <c r="W36" s="3"/>
      <c r="X36" s="43" t="str">
        <f aca="false">IF($H36="","",INDEX(設定!$C$20:$C$23,MATCH($H36,設定!$A$20:$A$23,0)))</f>
        <v/>
      </c>
      <c r="Y36" s="44" t="str">
        <f aca="false">IF($H36="","",INDEX(設定!$D$20:$D$23,MATCH($H36,設定!$A$20:$A$23,0))+INDEX(設定!$E$20:$E$23,MATCH($H36,設定!$A$20:$A$23,0)))</f>
        <v/>
      </c>
    </row>
    <row r="37" customFormat="false" ht="15" hidden="false" customHeight="false" outlineLevel="0" collapsed="false">
      <c r="A37" s="34" t="n">
        <v>33</v>
      </c>
      <c r="B37" s="3"/>
      <c r="C37" s="3"/>
      <c r="D37" s="36"/>
      <c r="E37" s="36"/>
      <c r="F37" s="37"/>
      <c r="G37" s="37"/>
      <c r="H37" s="35"/>
      <c r="I37" s="36"/>
      <c r="J37" s="36"/>
      <c r="K37" s="3"/>
      <c r="L37" s="38" t="str">
        <f aca="false">IF(AND($D37&lt;&gt;"",$F37&lt;&gt;"",$H37&lt;&gt;"",$I37&lt;&gt;""),($F37+N($G37))*設定!$C$4,"")</f>
        <v/>
      </c>
      <c r="M37" s="38" t="str">
        <f aca="false">IF($L37="","",(($F37+N($G37))*(設定!$C$6+設定!$C$7+設定!$C$9)+設定!$C$8)*設定!$C$4)</f>
        <v/>
      </c>
      <c r="N37" s="38" t="str">
        <f aca="false">IF($L37="","",($L37-$M37)*設定!$C$10)</f>
        <v/>
      </c>
      <c r="O37" s="38" t="str">
        <f aca="false">IF($L37="","",IF($I37&gt;MAX(送料表!$B$5:$B$18),"範囲外",INDEX(送料表!$C$5:$F$18,MATCH($I37,送料表!$A$5:$A$18,1),MATCH($H37,送料表!$C$4:$F$4,0))))</f>
        <v/>
      </c>
      <c r="P37" s="38" t="str">
        <f aca="false">IF($L37="","",$F37*設定!$C$4*$X37+$Y37)</f>
        <v/>
      </c>
      <c r="Q37" s="38" t="str">
        <f aca="false">IF($L37="","",設定!$C$11)</f>
        <v/>
      </c>
      <c r="R37" s="38" t="str">
        <f aca="false">IF(OR($L37="",NOT(ISNUMBER($O37))),"",N($D37)+N($E37)+$M37+$N37+$O37+$P37+$Q37)</f>
        <v/>
      </c>
      <c r="S37" s="39" t="str">
        <f aca="false">IF($R37="","",$L37-$R37)</f>
        <v/>
      </c>
      <c r="T37" s="40" t="str">
        <f aca="false">IF(OR($S37="",N($L37)=0),"",$S37/$L37)</f>
        <v/>
      </c>
      <c r="U37" s="41" t="str">
        <f aca="false">IF(OR($L37="",NOT(ISNUMBER($O37))),"",IF(設定!$C$16-$X37&lt;=0,"設定を確認",MAX((設定!$C$8*設定!$C$4*(1-設定!$C$10)+$Y37+N($D37)+N($E37)+$O37+$Q37-N($G37)*設定!$C$4*設定!$C$16)/(設定!$C$4*(設定!$C$16-$X37)),(設定!$C$8*設定!$C$4*(1-設定!$C$10)+$Y37+N($D37)+N($E37)+$O37+$Q37+設定!$C$13-N($G37)*設定!$C$4*設定!$C$15)/(設定!$C$4*(設定!$C$15-$X37)))))</f>
        <v/>
      </c>
      <c r="V37" s="42" t="str">
        <f aca="false">IF($L37="","",IF(NOT(ISNUMBER($O37)),"要確認：重量が送料表の範囲外",IF(AND($T37&gt;=設定!$C$12,$S37&gt;=設定!$C$13,N($J37)&gt;=設定!$C$14),"◎ 出品候補",IF(AND($T37&gt;=設定!$C$12,$S37&gt;=設定!$C$13),"△ 利益OK・販売実績が不足","× 見送り"))))</f>
        <v/>
      </c>
      <c r="W37" s="3"/>
      <c r="X37" s="43" t="str">
        <f aca="false">IF($H37="","",INDEX(設定!$C$20:$C$23,MATCH($H37,設定!$A$20:$A$23,0)))</f>
        <v/>
      </c>
      <c r="Y37" s="44" t="str">
        <f aca="false">IF($H37="","",INDEX(設定!$D$20:$D$23,MATCH($H37,設定!$A$20:$A$23,0))+INDEX(設定!$E$20:$E$23,MATCH($H37,設定!$A$20:$A$23,0)))</f>
        <v/>
      </c>
    </row>
    <row r="38" customFormat="false" ht="15" hidden="false" customHeight="false" outlineLevel="0" collapsed="false">
      <c r="A38" s="34" t="n">
        <v>34</v>
      </c>
      <c r="B38" s="3"/>
      <c r="C38" s="3"/>
      <c r="D38" s="36"/>
      <c r="E38" s="36"/>
      <c r="F38" s="37"/>
      <c r="G38" s="37"/>
      <c r="H38" s="35"/>
      <c r="I38" s="36"/>
      <c r="J38" s="36"/>
      <c r="K38" s="3"/>
      <c r="L38" s="38" t="str">
        <f aca="false">IF(AND($D38&lt;&gt;"",$F38&lt;&gt;"",$H38&lt;&gt;"",$I38&lt;&gt;""),($F38+N($G38))*設定!$C$4,"")</f>
        <v/>
      </c>
      <c r="M38" s="38" t="str">
        <f aca="false">IF($L38="","",(($F38+N($G38))*(設定!$C$6+設定!$C$7+設定!$C$9)+設定!$C$8)*設定!$C$4)</f>
        <v/>
      </c>
      <c r="N38" s="38" t="str">
        <f aca="false">IF($L38="","",($L38-$M38)*設定!$C$10)</f>
        <v/>
      </c>
      <c r="O38" s="38" t="str">
        <f aca="false">IF($L38="","",IF($I38&gt;MAX(送料表!$B$5:$B$18),"範囲外",INDEX(送料表!$C$5:$F$18,MATCH($I38,送料表!$A$5:$A$18,1),MATCH($H38,送料表!$C$4:$F$4,0))))</f>
        <v/>
      </c>
      <c r="P38" s="38" t="str">
        <f aca="false">IF($L38="","",$F38*設定!$C$4*$X38+$Y38)</f>
        <v/>
      </c>
      <c r="Q38" s="38" t="str">
        <f aca="false">IF($L38="","",設定!$C$11)</f>
        <v/>
      </c>
      <c r="R38" s="38" t="str">
        <f aca="false">IF(OR($L38="",NOT(ISNUMBER($O38))),"",N($D38)+N($E38)+$M38+$N38+$O38+$P38+$Q38)</f>
        <v/>
      </c>
      <c r="S38" s="39" t="str">
        <f aca="false">IF($R38="","",$L38-$R38)</f>
        <v/>
      </c>
      <c r="T38" s="40" t="str">
        <f aca="false">IF(OR($S38="",N($L38)=0),"",$S38/$L38)</f>
        <v/>
      </c>
      <c r="U38" s="41" t="str">
        <f aca="false">IF(OR($L38="",NOT(ISNUMBER($O38))),"",IF(設定!$C$16-$X38&lt;=0,"設定を確認",MAX((設定!$C$8*設定!$C$4*(1-設定!$C$10)+$Y38+N($D38)+N($E38)+$O38+$Q38-N($G38)*設定!$C$4*設定!$C$16)/(設定!$C$4*(設定!$C$16-$X38)),(設定!$C$8*設定!$C$4*(1-設定!$C$10)+$Y38+N($D38)+N($E38)+$O38+$Q38+設定!$C$13-N($G38)*設定!$C$4*設定!$C$15)/(設定!$C$4*(設定!$C$15-$X38)))))</f>
        <v/>
      </c>
      <c r="V38" s="42" t="str">
        <f aca="false">IF($L38="","",IF(NOT(ISNUMBER($O38)),"要確認：重量が送料表の範囲外",IF(AND($T38&gt;=設定!$C$12,$S38&gt;=設定!$C$13,N($J38)&gt;=設定!$C$14),"◎ 出品候補",IF(AND($T38&gt;=設定!$C$12,$S38&gt;=設定!$C$13),"△ 利益OK・販売実績が不足","× 見送り"))))</f>
        <v/>
      </c>
      <c r="W38" s="3"/>
      <c r="X38" s="43" t="str">
        <f aca="false">IF($H38="","",INDEX(設定!$C$20:$C$23,MATCH($H38,設定!$A$20:$A$23,0)))</f>
        <v/>
      </c>
      <c r="Y38" s="44" t="str">
        <f aca="false">IF($H38="","",INDEX(設定!$D$20:$D$23,MATCH($H38,設定!$A$20:$A$23,0))+INDEX(設定!$E$20:$E$23,MATCH($H38,設定!$A$20:$A$23,0)))</f>
        <v/>
      </c>
    </row>
    <row r="39" customFormat="false" ht="15" hidden="false" customHeight="false" outlineLevel="0" collapsed="false">
      <c r="A39" s="34" t="n">
        <v>35</v>
      </c>
      <c r="B39" s="3"/>
      <c r="C39" s="3"/>
      <c r="D39" s="36"/>
      <c r="E39" s="36"/>
      <c r="F39" s="37"/>
      <c r="G39" s="37"/>
      <c r="H39" s="35"/>
      <c r="I39" s="36"/>
      <c r="J39" s="36"/>
      <c r="K39" s="3"/>
      <c r="L39" s="38" t="str">
        <f aca="false">IF(AND($D39&lt;&gt;"",$F39&lt;&gt;"",$H39&lt;&gt;"",$I39&lt;&gt;""),($F39+N($G39))*設定!$C$4,"")</f>
        <v/>
      </c>
      <c r="M39" s="38" t="str">
        <f aca="false">IF($L39="","",(($F39+N($G39))*(設定!$C$6+設定!$C$7+設定!$C$9)+設定!$C$8)*設定!$C$4)</f>
        <v/>
      </c>
      <c r="N39" s="38" t="str">
        <f aca="false">IF($L39="","",($L39-$M39)*設定!$C$10)</f>
        <v/>
      </c>
      <c r="O39" s="38" t="str">
        <f aca="false">IF($L39="","",IF($I39&gt;MAX(送料表!$B$5:$B$18),"範囲外",INDEX(送料表!$C$5:$F$18,MATCH($I39,送料表!$A$5:$A$18,1),MATCH($H39,送料表!$C$4:$F$4,0))))</f>
        <v/>
      </c>
      <c r="P39" s="38" t="str">
        <f aca="false">IF($L39="","",$F39*設定!$C$4*$X39+$Y39)</f>
        <v/>
      </c>
      <c r="Q39" s="38" t="str">
        <f aca="false">IF($L39="","",設定!$C$11)</f>
        <v/>
      </c>
      <c r="R39" s="38" t="str">
        <f aca="false">IF(OR($L39="",NOT(ISNUMBER($O39))),"",N($D39)+N($E39)+$M39+$N39+$O39+$P39+$Q39)</f>
        <v/>
      </c>
      <c r="S39" s="39" t="str">
        <f aca="false">IF($R39="","",$L39-$R39)</f>
        <v/>
      </c>
      <c r="T39" s="40" t="str">
        <f aca="false">IF(OR($S39="",N($L39)=0),"",$S39/$L39)</f>
        <v/>
      </c>
      <c r="U39" s="41" t="str">
        <f aca="false">IF(OR($L39="",NOT(ISNUMBER($O39))),"",IF(設定!$C$16-$X39&lt;=0,"設定を確認",MAX((設定!$C$8*設定!$C$4*(1-設定!$C$10)+$Y39+N($D39)+N($E39)+$O39+$Q39-N($G39)*設定!$C$4*設定!$C$16)/(設定!$C$4*(設定!$C$16-$X39)),(設定!$C$8*設定!$C$4*(1-設定!$C$10)+$Y39+N($D39)+N($E39)+$O39+$Q39+設定!$C$13-N($G39)*設定!$C$4*設定!$C$15)/(設定!$C$4*(設定!$C$15-$X39)))))</f>
        <v/>
      </c>
      <c r="V39" s="42" t="str">
        <f aca="false">IF($L39="","",IF(NOT(ISNUMBER($O39)),"要確認：重量が送料表の範囲外",IF(AND($T39&gt;=設定!$C$12,$S39&gt;=設定!$C$13,N($J39)&gt;=設定!$C$14),"◎ 出品候補",IF(AND($T39&gt;=設定!$C$12,$S39&gt;=設定!$C$13),"△ 利益OK・販売実績が不足","× 見送り"))))</f>
        <v/>
      </c>
      <c r="W39" s="3"/>
      <c r="X39" s="43" t="str">
        <f aca="false">IF($H39="","",INDEX(設定!$C$20:$C$23,MATCH($H39,設定!$A$20:$A$23,0)))</f>
        <v/>
      </c>
      <c r="Y39" s="44" t="str">
        <f aca="false">IF($H39="","",INDEX(設定!$D$20:$D$23,MATCH($H39,設定!$A$20:$A$23,0))+INDEX(設定!$E$20:$E$23,MATCH($H39,設定!$A$20:$A$23,0)))</f>
        <v/>
      </c>
    </row>
    <row r="40" customFormat="false" ht="15" hidden="false" customHeight="false" outlineLevel="0" collapsed="false">
      <c r="A40" s="34" t="n">
        <v>36</v>
      </c>
      <c r="B40" s="3"/>
      <c r="C40" s="3"/>
      <c r="D40" s="36"/>
      <c r="E40" s="36"/>
      <c r="F40" s="37"/>
      <c r="G40" s="37"/>
      <c r="H40" s="35"/>
      <c r="I40" s="36"/>
      <c r="J40" s="36"/>
      <c r="K40" s="3"/>
      <c r="L40" s="38" t="str">
        <f aca="false">IF(AND($D40&lt;&gt;"",$F40&lt;&gt;"",$H40&lt;&gt;"",$I40&lt;&gt;""),($F40+N($G40))*設定!$C$4,"")</f>
        <v/>
      </c>
      <c r="M40" s="38" t="str">
        <f aca="false">IF($L40="","",(($F40+N($G40))*(設定!$C$6+設定!$C$7+設定!$C$9)+設定!$C$8)*設定!$C$4)</f>
        <v/>
      </c>
      <c r="N40" s="38" t="str">
        <f aca="false">IF($L40="","",($L40-$M40)*設定!$C$10)</f>
        <v/>
      </c>
      <c r="O40" s="38" t="str">
        <f aca="false">IF($L40="","",IF($I40&gt;MAX(送料表!$B$5:$B$18),"範囲外",INDEX(送料表!$C$5:$F$18,MATCH($I40,送料表!$A$5:$A$18,1),MATCH($H40,送料表!$C$4:$F$4,0))))</f>
        <v/>
      </c>
      <c r="P40" s="38" t="str">
        <f aca="false">IF($L40="","",$F40*設定!$C$4*$X40+$Y40)</f>
        <v/>
      </c>
      <c r="Q40" s="38" t="str">
        <f aca="false">IF($L40="","",設定!$C$11)</f>
        <v/>
      </c>
      <c r="R40" s="38" t="str">
        <f aca="false">IF(OR($L40="",NOT(ISNUMBER($O40))),"",N($D40)+N($E40)+$M40+$N40+$O40+$P40+$Q40)</f>
        <v/>
      </c>
      <c r="S40" s="39" t="str">
        <f aca="false">IF($R40="","",$L40-$R40)</f>
        <v/>
      </c>
      <c r="T40" s="40" t="str">
        <f aca="false">IF(OR($S40="",N($L40)=0),"",$S40/$L40)</f>
        <v/>
      </c>
      <c r="U40" s="41" t="str">
        <f aca="false">IF(OR($L40="",NOT(ISNUMBER($O40))),"",IF(設定!$C$16-$X40&lt;=0,"設定を確認",MAX((設定!$C$8*設定!$C$4*(1-設定!$C$10)+$Y40+N($D40)+N($E40)+$O40+$Q40-N($G40)*設定!$C$4*設定!$C$16)/(設定!$C$4*(設定!$C$16-$X40)),(設定!$C$8*設定!$C$4*(1-設定!$C$10)+$Y40+N($D40)+N($E40)+$O40+$Q40+設定!$C$13-N($G40)*設定!$C$4*設定!$C$15)/(設定!$C$4*(設定!$C$15-$X40)))))</f>
        <v/>
      </c>
      <c r="V40" s="42" t="str">
        <f aca="false">IF($L40="","",IF(NOT(ISNUMBER($O40)),"要確認：重量が送料表の範囲外",IF(AND($T40&gt;=設定!$C$12,$S40&gt;=設定!$C$13,N($J40)&gt;=設定!$C$14),"◎ 出品候補",IF(AND($T40&gt;=設定!$C$12,$S40&gt;=設定!$C$13),"△ 利益OK・販売実績が不足","× 見送り"))))</f>
        <v/>
      </c>
      <c r="W40" s="3"/>
      <c r="X40" s="43" t="str">
        <f aca="false">IF($H40="","",INDEX(設定!$C$20:$C$23,MATCH($H40,設定!$A$20:$A$23,0)))</f>
        <v/>
      </c>
      <c r="Y40" s="44" t="str">
        <f aca="false">IF($H40="","",INDEX(設定!$D$20:$D$23,MATCH($H40,設定!$A$20:$A$23,0))+INDEX(設定!$E$20:$E$23,MATCH($H40,設定!$A$20:$A$23,0)))</f>
        <v/>
      </c>
    </row>
    <row r="41" customFormat="false" ht="15" hidden="false" customHeight="false" outlineLevel="0" collapsed="false">
      <c r="A41" s="34" t="n">
        <v>37</v>
      </c>
      <c r="B41" s="3"/>
      <c r="C41" s="3"/>
      <c r="D41" s="36"/>
      <c r="E41" s="36"/>
      <c r="F41" s="37"/>
      <c r="G41" s="37"/>
      <c r="H41" s="35"/>
      <c r="I41" s="36"/>
      <c r="J41" s="36"/>
      <c r="K41" s="3"/>
      <c r="L41" s="38" t="str">
        <f aca="false">IF(AND($D41&lt;&gt;"",$F41&lt;&gt;"",$H41&lt;&gt;"",$I41&lt;&gt;""),($F41+N($G41))*設定!$C$4,"")</f>
        <v/>
      </c>
      <c r="M41" s="38" t="str">
        <f aca="false">IF($L41="","",(($F41+N($G41))*(設定!$C$6+設定!$C$7+設定!$C$9)+設定!$C$8)*設定!$C$4)</f>
        <v/>
      </c>
      <c r="N41" s="38" t="str">
        <f aca="false">IF($L41="","",($L41-$M41)*設定!$C$10)</f>
        <v/>
      </c>
      <c r="O41" s="38" t="str">
        <f aca="false">IF($L41="","",IF($I41&gt;MAX(送料表!$B$5:$B$18),"範囲外",INDEX(送料表!$C$5:$F$18,MATCH($I41,送料表!$A$5:$A$18,1),MATCH($H41,送料表!$C$4:$F$4,0))))</f>
        <v/>
      </c>
      <c r="P41" s="38" t="str">
        <f aca="false">IF($L41="","",$F41*設定!$C$4*$X41+$Y41)</f>
        <v/>
      </c>
      <c r="Q41" s="38" t="str">
        <f aca="false">IF($L41="","",設定!$C$11)</f>
        <v/>
      </c>
      <c r="R41" s="38" t="str">
        <f aca="false">IF(OR($L41="",NOT(ISNUMBER($O41))),"",N($D41)+N($E41)+$M41+$N41+$O41+$P41+$Q41)</f>
        <v/>
      </c>
      <c r="S41" s="39" t="str">
        <f aca="false">IF($R41="","",$L41-$R41)</f>
        <v/>
      </c>
      <c r="T41" s="40" t="str">
        <f aca="false">IF(OR($S41="",N($L41)=0),"",$S41/$L41)</f>
        <v/>
      </c>
      <c r="U41" s="41" t="str">
        <f aca="false">IF(OR($L41="",NOT(ISNUMBER($O41))),"",IF(設定!$C$16-$X41&lt;=0,"設定を確認",MAX((設定!$C$8*設定!$C$4*(1-設定!$C$10)+$Y41+N($D41)+N($E41)+$O41+$Q41-N($G41)*設定!$C$4*設定!$C$16)/(設定!$C$4*(設定!$C$16-$X41)),(設定!$C$8*設定!$C$4*(1-設定!$C$10)+$Y41+N($D41)+N($E41)+$O41+$Q41+設定!$C$13-N($G41)*設定!$C$4*設定!$C$15)/(設定!$C$4*(設定!$C$15-$X41)))))</f>
        <v/>
      </c>
      <c r="V41" s="42" t="str">
        <f aca="false">IF($L41="","",IF(NOT(ISNUMBER($O41)),"要確認：重量が送料表の範囲外",IF(AND($T41&gt;=設定!$C$12,$S41&gt;=設定!$C$13,N($J41)&gt;=設定!$C$14),"◎ 出品候補",IF(AND($T41&gt;=設定!$C$12,$S41&gt;=設定!$C$13),"△ 利益OK・販売実績が不足","× 見送り"))))</f>
        <v/>
      </c>
      <c r="W41" s="3"/>
      <c r="X41" s="43" t="str">
        <f aca="false">IF($H41="","",INDEX(設定!$C$20:$C$23,MATCH($H41,設定!$A$20:$A$23,0)))</f>
        <v/>
      </c>
      <c r="Y41" s="44" t="str">
        <f aca="false">IF($H41="","",INDEX(設定!$D$20:$D$23,MATCH($H41,設定!$A$20:$A$23,0))+INDEX(設定!$E$20:$E$23,MATCH($H41,設定!$A$20:$A$23,0)))</f>
        <v/>
      </c>
    </row>
    <row r="42" customFormat="false" ht="15" hidden="false" customHeight="false" outlineLevel="0" collapsed="false">
      <c r="A42" s="34" t="n">
        <v>38</v>
      </c>
      <c r="B42" s="3"/>
      <c r="C42" s="3"/>
      <c r="D42" s="36"/>
      <c r="E42" s="36"/>
      <c r="F42" s="37"/>
      <c r="G42" s="37"/>
      <c r="H42" s="35"/>
      <c r="I42" s="36"/>
      <c r="J42" s="36"/>
      <c r="K42" s="3"/>
      <c r="L42" s="38" t="str">
        <f aca="false">IF(AND($D42&lt;&gt;"",$F42&lt;&gt;"",$H42&lt;&gt;"",$I42&lt;&gt;""),($F42+N($G42))*設定!$C$4,"")</f>
        <v/>
      </c>
      <c r="M42" s="38" t="str">
        <f aca="false">IF($L42="","",(($F42+N($G42))*(設定!$C$6+設定!$C$7+設定!$C$9)+設定!$C$8)*設定!$C$4)</f>
        <v/>
      </c>
      <c r="N42" s="38" t="str">
        <f aca="false">IF($L42="","",($L42-$M42)*設定!$C$10)</f>
        <v/>
      </c>
      <c r="O42" s="38" t="str">
        <f aca="false">IF($L42="","",IF($I42&gt;MAX(送料表!$B$5:$B$18),"範囲外",INDEX(送料表!$C$5:$F$18,MATCH($I42,送料表!$A$5:$A$18,1),MATCH($H42,送料表!$C$4:$F$4,0))))</f>
        <v/>
      </c>
      <c r="P42" s="38" t="str">
        <f aca="false">IF($L42="","",$F42*設定!$C$4*$X42+$Y42)</f>
        <v/>
      </c>
      <c r="Q42" s="38" t="str">
        <f aca="false">IF($L42="","",設定!$C$11)</f>
        <v/>
      </c>
      <c r="R42" s="38" t="str">
        <f aca="false">IF(OR($L42="",NOT(ISNUMBER($O42))),"",N($D42)+N($E42)+$M42+$N42+$O42+$P42+$Q42)</f>
        <v/>
      </c>
      <c r="S42" s="39" t="str">
        <f aca="false">IF($R42="","",$L42-$R42)</f>
        <v/>
      </c>
      <c r="T42" s="40" t="str">
        <f aca="false">IF(OR($S42="",N($L42)=0),"",$S42/$L42)</f>
        <v/>
      </c>
      <c r="U42" s="41" t="str">
        <f aca="false">IF(OR($L42="",NOT(ISNUMBER($O42))),"",IF(設定!$C$16-$X42&lt;=0,"設定を確認",MAX((設定!$C$8*設定!$C$4*(1-設定!$C$10)+$Y42+N($D42)+N($E42)+$O42+$Q42-N($G42)*設定!$C$4*設定!$C$16)/(設定!$C$4*(設定!$C$16-$X42)),(設定!$C$8*設定!$C$4*(1-設定!$C$10)+$Y42+N($D42)+N($E42)+$O42+$Q42+設定!$C$13-N($G42)*設定!$C$4*設定!$C$15)/(設定!$C$4*(設定!$C$15-$X42)))))</f>
        <v/>
      </c>
      <c r="V42" s="42" t="str">
        <f aca="false">IF($L42="","",IF(NOT(ISNUMBER($O42)),"要確認：重量が送料表の範囲外",IF(AND($T42&gt;=設定!$C$12,$S42&gt;=設定!$C$13,N($J42)&gt;=設定!$C$14),"◎ 出品候補",IF(AND($T42&gt;=設定!$C$12,$S42&gt;=設定!$C$13),"△ 利益OK・販売実績が不足","× 見送り"))))</f>
        <v/>
      </c>
      <c r="W42" s="3"/>
      <c r="X42" s="43" t="str">
        <f aca="false">IF($H42="","",INDEX(設定!$C$20:$C$23,MATCH($H42,設定!$A$20:$A$23,0)))</f>
        <v/>
      </c>
      <c r="Y42" s="44" t="str">
        <f aca="false">IF($H42="","",INDEX(設定!$D$20:$D$23,MATCH($H42,設定!$A$20:$A$23,0))+INDEX(設定!$E$20:$E$23,MATCH($H42,設定!$A$20:$A$23,0)))</f>
        <v/>
      </c>
    </row>
    <row r="43" customFormat="false" ht="15" hidden="false" customHeight="false" outlineLevel="0" collapsed="false">
      <c r="A43" s="34" t="n">
        <v>39</v>
      </c>
      <c r="B43" s="3"/>
      <c r="C43" s="3"/>
      <c r="D43" s="36"/>
      <c r="E43" s="36"/>
      <c r="F43" s="37"/>
      <c r="G43" s="37"/>
      <c r="H43" s="35"/>
      <c r="I43" s="36"/>
      <c r="J43" s="36"/>
      <c r="K43" s="3"/>
      <c r="L43" s="38" t="str">
        <f aca="false">IF(AND($D43&lt;&gt;"",$F43&lt;&gt;"",$H43&lt;&gt;"",$I43&lt;&gt;""),($F43+N($G43))*設定!$C$4,"")</f>
        <v/>
      </c>
      <c r="M43" s="38" t="str">
        <f aca="false">IF($L43="","",(($F43+N($G43))*(設定!$C$6+設定!$C$7+設定!$C$9)+設定!$C$8)*設定!$C$4)</f>
        <v/>
      </c>
      <c r="N43" s="38" t="str">
        <f aca="false">IF($L43="","",($L43-$M43)*設定!$C$10)</f>
        <v/>
      </c>
      <c r="O43" s="38" t="str">
        <f aca="false">IF($L43="","",IF($I43&gt;MAX(送料表!$B$5:$B$18),"範囲外",INDEX(送料表!$C$5:$F$18,MATCH($I43,送料表!$A$5:$A$18,1),MATCH($H43,送料表!$C$4:$F$4,0))))</f>
        <v/>
      </c>
      <c r="P43" s="38" t="str">
        <f aca="false">IF($L43="","",$F43*設定!$C$4*$X43+$Y43)</f>
        <v/>
      </c>
      <c r="Q43" s="38" t="str">
        <f aca="false">IF($L43="","",設定!$C$11)</f>
        <v/>
      </c>
      <c r="R43" s="38" t="str">
        <f aca="false">IF(OR($L43="",NOT(ISNUMBER($O43))),"",N($D43)+N($E43)+$M43+$N43+$O43+$P43+$Q43)</f>
        <v/>
      </c>
      <c r="S43" s="39" t="str">
        <f aca="false">IF($R43="","",$L43-$R43)</f>
        <v/>
      </c>
      <c r="T43" s="40" t="str">
        <f aca="false">IF(OR($S43="",N($L43)=0),"",$S43/$L43)</f>
        <v/>
      </c>
      <c r="U43" s="41" t="str">
        <f aca="false">IF(OR($L43="",NOT(ISNUMBER($O43))),"",IF(設定!$C$16-$X43&lt;=0,"設定を確認",MAX((設定!$C$8*設定!$C$4*(1-設定!$C$10)+$Y43+N($D43)+N($E43)+$O43+$Q43-N($G43)*設定!$C$4*設定!$C$16)/(設定!$C$4*(設定!$C$16-$X43)),(設定!$C$8*設定!$C$4*(1-設定!$C$10)+$Y43+N($D43)+N($E43)+$O43+$Q43+設定!$C$13-N($G43)*設定!$C$4*設定!$C$15)/(設定!$C$4*(設定!$C$15-$X43)))))</f>
        <v/>
      </c>
      <c r="V43" s="42" t="str">
        <f aca="false">IF($L43="","",IF(NOT(ISNUMBER($O43)),"要確認：重量が送料表の範囲外",IF(AND($T43&gt;=設定!$C$12,$S43&gt;=設定!$C$13,N($J43)&gt;=設定!$C$14),"◎ 出品候補",IF(AND($T43&gt;=設定!$C$12,$S43&gt;=設定!$C$13),"△ 利益OK・販売実績が不足","× 見送り"))))</f>
        <v/>
      </c>
      <c r="W43" s="3"/>
      <c r="X43" s="43" t="str">
        <f aca="false">IF($H43="","",INDEX(設定!$C$20:$C$23,MATCH($H43,設定!$A$20:$A$23,0)))</f>
        <v/>
      </c>
      <c r="Y43" s="44" t="str">
        <f aca="false">IF($H43="","",INDEX(設定!$D$20:$D$23,MATCH($H43,設定!$A$20:$A$23,0))+INDEX(設定!$E$20:$E$23,MATCH($H43,設定!$A$20:$A$23,0)))</f>
        <v/>
      </c>
    </row>
    <row r="44" customFormat="false" ht="15" hidden="false" customHeight="false" outlineLevel="0" collapsed="false">
      <c r="A44" s="34" t="n">
        <v>40</v>
      </c>
      <c r="B44" s="3"/>
      <c r="C44" s="3"/>
      <c r="D44" s="36"/>
      <c r="E44" s="36"/>
      <c r="F44" s="37"/>
      <c r="G44" s="37"/>
      <c r="H44" s="35"/>
      <c r="I44" s="36"/>
      <c r="J44" s="36"/>
      <c r="K44" s="3"/>
      <c r="L44" s="38" t="str">
        <f aca="false">IF(AND($D44&lt;&gt;"",$F44&lt;&gt;"",$H44&lt;&gt;"",$I44&lt;&gt;""),($F44+N($G44))*設定!$C$4,"")</f>
        <v/>
      </c>
      <c r="M44" s="38" t="str">
        <f aca="false">IF($L44="","",(($F44+N($G44))*(設定!$C$6+設定!$C$7+設定!$C$9)+設定!$C$8)*設定!$C$4)</f>
        <v/>
      </c>
      <c r="N44" s="38" t="str">
        <f aca="false">IF($L44="","",($L44-$M44)*設定!$C$10)</f>
        <v/>
      </c>
      <c r="O44" s="38" t="str">
        <f aca="false">IF($L44="","",IF($I44&gt;MAX(送料表!$B$5:$B$18),"範囲外",INDEX(送料表!$C$5:$F$18,MATCH($I44,送料表!$A$5:$A$18,1),MATCH($H44,送料表!$C$4:$F$4,0))))</f>
        <v/>
      </c>
      <c r="P44" s="38" t="str">
        <f aca="false">IF($L44="","",$F44*設定!$C$4*$X44+$Y44)</f>
        <v/>
      </c>
      <c r="Q44" s="38" t="str">
        <f aca="false">IF($L44="","",設定!$C$11)</f>
        <v/>
      </c>
      <c r="R44" s="38" t="str">
        <f aca="false">IF(OR($L44="",NOT(ISNUMBER($O44))),"",N($D44)+N($E44)+$M44+$N44+$O44+$P44+$Q44)</f>
        <v/>
      </c>
      <c r="S44" s="39" t="str">
        <f aca="false">IF($R44="","",$L44-$R44)</f>
        <v/>
      </c>
      <c r="T44" s="40" t="str">
        <f aca="false">IF(OR($S44="",N($L44)=0),"",$S44/$L44)</f>
        <v/>
      </c>
      <c r="U44" s="41" t="str">
        <f aca="false">IF(OR($L44="",NOT(ISNUMBER($O44))),"",IF(設定!$C$16-$X44&lt;=0,"設定を確認",MAX((設定!$C$8*設定!$C$4*(1-設定!$C$10)+$Y44+N($D44)+N($E44)+$O44+$Q44-N($G44)*設定!$C$4*設定!$C$16)/(設定!$C$4*(設定!$C$16-$X44)),(設定!$C$8*設定!$C$4*(1-設定!$C$10)+$Y44+N($D44)+N($E44)+$O44+$Q44+設定!$C$13-N($G44)*設定!$C$4*設定!$C$15)/(設定!$C$4*(設定!$C$15-$X44)))))</f>
        <v/>
      </c>
      <c r="V44" s="42" t="str">
        <f aca="false">IF($L44="","",IF(NOT(ISNUMBER($O44)),"要確認：重量が送料表の範囲外",IF(AND($T44&gt;=設定!$C$12,$S44&gt;=設定!$C$13,N($J44)&gt;=設定!$C$14),"◎ 出品候補",IF(AND($T44&gt;=設定!$C$12,$S44&gt;=設定!$C$13),"△ 利益OK・販売実績が不足","× 見送り"))))</f>
        <v/>
      </c>
      <c r="W44" s="3"/>
      <c r="X44" s="43" t="str">
        <f aca="false">IF($H44="","",INDEX(設定!$C$20:$C$23,MATCH($H44,設定!$A$20:$A$23,0)))</f>
        <v/>
      </c>
      <c r="Y44" s="44" t="str">
        <f aca="false">IF($H44="","",INDEX(設定!$D$20:$D$23,MATCH($H44,設定!$A$20:$A$23,0))+INDEX(設定!$E$20:$E$23,MATCH($H44,設定!$A$20:$A$23,0)))</f>
        <v/>
      </c>
    </row>
    <row r="45" customFormat="false" ht="15" hidden="false" customHeight="false" outlineLevel="0" collapsed="false">
      <c r="A45" s="34" t="n">
        <v>41</v>
      </c>
      <c r="B45" s="3"/>
      <c r="C45" s="3"/>
      <c r="D45" s="36"/>
      <c r="E45" s="36"/>
      <c r="F45" s="37"/>
      <c r="G45" s="37"/>
      <c r="H45" s="35"/>
      <c r="I45" s="36"/>
      <c r="J45" s="36"/>
      <c r="K45" s="3"/>
      <c r="L45" s="38" t="str">
        <f aca="false">IF(AND($D45&lt;&gt;"",$F45&lt;&gt;"",$H45&lt;&gt;"",$I45&lt;&gt;""),($F45+N($G45))*設定!$C$4,"")</f>
        <v/>
      </c>
      <c r="M45" s="38" t="str">
        <f aca="false">IF($L45="","",(($F45+N($G45))*(設定!$C$6+設定!$C$7+設定!$C$9)+設定!$C$8)*設定!$C$4)</f>
        <v/>
      </c>
      <c r="N45" s="38" t="str">
        <f aca="false">IF($L45="","",($L45-$M45)*設定!$C$10)</f>
        <v/>
      </c>
      <c r="O45" s="38" t="str">
        <f aca="false">IF($L45="","",IF($I45&gt;MAX(送料表!$B$5:$B$18),"範囲外",INDEX(送料表!$C$5:$F$18,MATCH($I45,送料表!$A$5:$A$18,1),MATCH($H45,送料表!$C$4:$F$4,0))))</f>
        <v/>
      </c>
      <c r="P45" s="38" t="str">
        <f aca="false">IF($L45="","",$F45*設定!$C$4*$X45+$Y45)</f>
        <v/>
      </c>
      <c r="Q45" s="38" t="str">
        <f aca="false">IF($L45="","",設定!$C$11)</f>
        <v/>
      </c>
      <c r="R45" s="38" t="str">
        <f aca="false">IF(OR($L45="",NOT(ISNUMBER($O45))),"",N($D45)+N($E45)+$M45+$N45+$O45+$P45+$Q45)</f>
        <v/>
      </c>
      <c r="S45" s="39" t="str">
        <f aca="false">IF($R45="","",$L45-$R45)</f>
        <v/>
      </c>
      <c r="T45" s="40" t="str">
        <f aca="false">IF(OR($S45="",N($L45)=0),"",$S45/$L45)</f>
        <v/>
      </c>
      <c r="U45" s="41" t="str">
        <f aca="false">IF(OR($L45="",NOT(ISNUMBER($O45))),"",IF(設定!$C$16-$X45&lt;=0,"設定を確認",MAX((設定!$C$8*設定!$C$4*(1-設定!$C$10)+$Y45+N($D45)+N($E45)+$O45+$Q45-N($G45)*設定!$C$4*設定!$C$16)/(設定!$C$4*(設定!$C$16-$X45)),(設定!$C$8*設定!$C$4*(1-設定!$C$10)+$Y45+N($D45)+N($E45)+$O45+$Q45+設定!$C$13-N($G45)*設定!$C$4*設定!$C$15)/(設定!$C$4*(設定!$C$15-$X45)))))</f>
        <v/>
      </c>
      <c r="V45" s="42" t="str">
        <f aca="false">IF($L45="","",IF(NOT(ISNUMBER($O45)),"要確認：重量が送料表の範囲外",IF(AND($T45&gt;=設定!$C$12,$S45&gt;=設定!$C$13,N($J45)&gt;=設定!$C$14),"◎ 出品候補",IF(AND($T45&gt;=設定!$C$12,$S45&gt;=設定!$C$13),"△ 利益OK・販売実績が不足","× 見送り"))))</f>
        <v/>
      </c>
      <c r="W45" s="3"/>
      <c r="X45" s="43" t="str">
        <f aca="false">IF($H45="","",INDEX(設定!$C$20:$C$23,MATCH($H45,設定!$A$20:$A$23,0)))</f>
        <v/>
      </c>
      <c r="Y45" s="44" t="str">
        <f aca="false">IF($H45="","",INDEX(設定!$D$20:$D$23,MATCH($H45,設定!$A$20:$A$23,0))+INDEX(設定!$E$20:$E$23,MATCH($H45,設定!$A$20:$A$23,0)))</f>
        <v/>
      </c>
    </row>
    <row r="46" customFormat="false" ht="15" hidden="false" customHeight="false" outlineLevel="0" collapsed="false">
      <c r="A46" s="34" t="n">
        <v>42</v>
      </c>
      <c r="B46" s="3"/>
      <c r="C46" s="3"/>
      <c r="D46" s="36"/>
      <c r="E46" s="36"/>
      <c r="F46" s="37"/>
      <c r="G46" s="37"/>
      <c r="H46" s="35"/>
      <c r="I46" s="36"/>
      <c r="J46" s="36"/>
      <c r="K46" s="3"/>
      <c r="L46" s="38" t="str">
        <f aca="false">IF(AND($D46&lt;&gt;"",$F46&lt;&gt;"",$H46&lt;&gt;"",$I46&lt;&gt;""),($F46+N($G46))*設定!$C$4,"")</f>
        <v/>
      </c>
      <c r="M46" s="38" t="str">
        <f aca="false">IF($L46="","",(($F46+N($G46))*(設定!$C$6+設定!$C$7+設定!$C$9)+設定!$C$8)*設定!$C$4)</f>
        <v/>
      </c>
      <c r="N46" s="38" t="str">
        <f aca="false">IF($L46="","",($L46-$M46)*設定!$C$10)</f>
        <v/>
      </c>
      <c r="O46" s="38" t="str">
        <f aca="false">IF($L46="","",IF($I46&gt;MAX(送料表!$B$5:$B$18),"範囲外",INDEX(送料表!$C$5:$F$18,MATCH($I46,送料表!$A$5:$A$18,1),MATCH($H46,送料表!$C$4:$F$4,0))))</f>
        <v/>
      </c>
      <c r="P46" s="38" t="str">
        <f aca="false">IF($L46="","",$F46*設定!$C$4*$X46+$Y46)</f>
        <v/>
      </c>
      <c r="Q46" s="38" t="str">
        <f aca="false">IF($L46="","",設定!$C$11)</f>
        <v/>
      </c>
      <c r="R46" s="38" t="str">
        <f aca="false">IF(OR($L46="",NOT(ISNUMBER($O46))),"",N($D46)+N($E46)+$M46+$N46+$O46+$P46+$Q46)</f>
        <v/>
      </c>
      <c r="S46" s="39" t="str">
        <f aca="false">IF($R46="","",$L46-$R46)</f>
        <v/>
      </c>
      <c r="T46" s="40" t="str">
        <f aca="false">IF(OR($S46="",N($L46)=0),"",$S46/$L46)</f>
        <v/>
      </c>
      <c r="U46" s="41" t="str">
        <f aca="false">IF(OR($L46="",NOT(ISNUMBER($O46))),"",IF(設定!$C$16-$X46&lt;=0,"設定を確認",MAX((設定!$C$8*設定!$C$4*(1-設定!$C$10)+$Y46+N($D46)+N($E46)+$O46+$Q46-N($G46)*設定!$C$4*設定!$C$16)/(設定!$C$4*(設定!$C$16-$X46)),(設定!$C$8*設定!$C$4*(1-設定!$C$10)+$Y46+N($D46)+N($E46)+$O46+$Q46+設定!$C$13-N($G46)*設定!$C$4*設定!$C$15)/(設定!$C$4*(設定!$C$15-$X46)))))</f>
        <v/>
      </c>
      <c r="V46" s="42" t="str">
        <f aca="false">IF($L46="","",IF(NOT(ISNUMBER($O46)),"要確認：重量が送料表の範囲外",IF(AND($T46&gt;=設定!$C$12,$S46&gt;=設定!$C$13,N($J46)&gt;=設定!$C$14),"◎ 出品候補",IF(AND($T46&gt;=設定!$C$12,$S46&gt;=設定!$C$13),"△ 利益OK・販売実績が不足","× 見送り"))))</f>
        <v/>
      </c>
      <c r="W46" s="3"/>
      <c r="X46" s="43" t="str">
        <f aca="false">IF($H46="","",INDEX(設定!$C$20:$C$23,MATCH($H46,設定!$A$20:$A$23,0)))</f>
        <v/>
      </c>
      <c r="Y46" s="44" t="str">
        <f aca="false">IF($H46="","",INDEX(設定!$D$20:$D$23,MATCH($H46,設定!$A$20:$A$23,0))+INDEX(設定!$E$20:$E$23,MATCH($H46,設定!$A$20:$A$23,0)))</f>
        <v/>
      </c>
    </row>
    <row r="47" customFormat="false" ht="15" hidden="false" customHeight="false" outlineLevel="0" collapsed="false">
      <c r="A47" s="34" t="n">
        <v>43</v>
      </c>
      <c r="B47" s="3"/>
      <c r="C47" s="3"/>
      <c r="D47" s="36"/>
      <c r="E47" s="36"/>
      <c r="F47" s="37"/>
      <c r="G47" s="37"/>
      <c r="H47" s="35"/>
      <c r="I47" s="36"/>
      <c r="J47" s="36"/>
      <c r="K47" s="3"/>
      <c r="L47" s="38" t="str">
        <f aca="false">IF(AND($D47&lt;&gt;"",$F47&lt;&gt;"",$H47&lt;&gt;"",$I47&lt;&gt;""),($F47+N($G47))*設定!$C$4,"")</f>
        <v/>
      </c>
      <c r="M47" s="38" t="str">
        <f aca="false">IF($L47="","",(($F47+N($G47))*(設定!$C$6+設定!$C$7+設定!$C$9)+設定!$C$8)*設定!$C$4)</f>
        <v/>
      </c>
      <c r="N47" s="38" t="str">
        <f aca="false">IF($L47="","",($L47-$M47)*設定!$C$10)</f>
        <v/>
      </c>
      <c r="O47" s="38" t="str">
        <f aca="false">IF($L47="","",IF($I47&gt;MAX(送料表!$B$5:$B$18),"範囲外",INDEX(送料表!$C$5:$F$18,MATCH($I47,送料表!$A$5:$A$18,1),MATCH($H47,送料表!$C$4:$F$4,0))))</f>
        <v/>
      </c>
      <c r="P47" s="38" t="str">
        <f aca="false">IF($L47="","",$F47*設定!$C$4*$X47+$Y47)</f>
        <v/>
      </c>
      <c r="Q47" s="38" t="str">
        <f aca="false">IF($L47="","",設定!$C$11)</f>
        <v/>
      </c>
      <c r="R47" s="38" t="str">
        <f aca="false">IF(OR($L47="",NOT(ISNUMBER($O47))),"",N($D47)+N($E47)+$M47+$N47+$O47+$P47+$Q47)</f>
        <v/>
      </c>
      <c r="S47" s="39" t="str">
        <f aca="false">IF($R47="","",$L47-$R47)</f>
        <v/>
      </c>
      <c r="T47" s="40" t="str">
        <f aca="false">IF(OR($S47="",N($L47)=0),"",$S47/$L47)</f>
        <v/>
      </c>
      <c r="U47" s="41" t="str">
        <f aca="false">IF(OR($L47="",NOT(ISNUMBER($O47))),"",IF(設定!$C$16-$X47&lt;=0,"設定を確認",MAX((設定!$C$8*設定!$C$4*(1-設定!$C$10)+$Y47+N($D47)+N($E47)+$O47+$Q47-N($G47)*設定!$C$4*設定!$C$16)/(設定!$C$4*(設定!$C$16-$X47)),(設定!$C$8*設定!$C$4*(1-設定!$C$10)+$Y47+N($D47)+N($E47)+$O47+$Q47+設定!$C$13-N($G47)*設定!$C$4*設定!$C$15)/(設定!$C$4*(設定!$C$15-$X47)))))</f>
        <v/>
      </c>
      <c r="V47" s="42" t="str">
        <f aca="false">IF($L47="","",IF(NOT(ISNUMBER($O47)),"要確認：重量が送料表の範囲外",IF(AND($T47&gt;=設定!$C$12,$S47&gt;=設定!$C$13,N($J47)&gt;=設定!$C$14),"◎ 出品候補",IF(AND($T47&gt;=設定!$C$12,$S47&gt;=設定!$C$13),"△ 利益OK・販売実績が不足","× 見送り"))))</f>
        <v/>
      </c>
      <c r="W47" s="3"/>
      <c r="X47" s="43" t="str">
        <f aca="false">IF($H47="","",INDEX(設定!$C$20:$C$23,MATCH($H47,設定!$A$20:$A$23,0)))</f>
        <v/>
      </c>
      <c r="Y47" s="44" t="str">
        <f aca="false">IF($H47="","",INDEX(設定!$D$20:$D$23,MATCH($H47,設定!$A$20:$A$23,0))+INDEX(設定!$E$20:$E$23,MATCH($H47,設定!$A$20:$A$23,0)))</f>
        <v/>
      </c>
    </row>
    <row r="48" customFormat="false" ht="15" hidden="false" customHeight="false" outlineLevel="0" collapsed="false">
      <c r="A48" s="34" t="n">
        <v>44</v>
      </c>
      <c r="B48" s="3"/>
      <c r="C48" s="3"/>
      <c r="D48" s="36"/>
      <c r="E48" s="36"/>
      <c r="F48" s="37"/>
      <c r="G48" s="37"/>
      <c r="H48" s="35"/>
      <c r="I48" s="36"/>
      <c r="J48" s="36"/>
      <c r="K48" s="3"/>
      <c r="L48" s="38" t="str">
        <f aca="false">IF(AND($D48&lt;&gt;"",$F48&lt;&gt;"",$H48&lt;&gt;"",$I48&lt;&gt;""),($F48+N($G48))*設定!$C$4,"")</f>
        <v/>
      </c>
      <c r="M48" s="38" t="str">
        <f aca="false">IF($L48="","",(($F48+N($G48))*(設定!$C$6+設定!$C$7+設定!$C$9)+設定!$C$8)*設定!$C$4)</f>
        <v/>
      </c>
      <c r="N48" s="38" t="str">
        <f aca="false">IF($L48="","",($L48-$M48)*設定!$C$10)</f>
        <v/>
      </c>
      <c r="O48" s="38" t="str">
        <f aca="false">IF($L48="","",IF($I48&gt;MAX(送料表!$B$5:$B$18),"範囲外",INDEX(送料表!$C$5:$F$18,MATCH($I48,送料表!$A$5:$A$18,1),MATCH($H48,送料表!$C$4:$F$4,0))))</f>
        <v/>
      </c>
      <c r="P48" s="38" t="str">
        <f aca="false">IF($L48="","",$F48*設定!$C$4*$X48+$Y48)</f>
        <v/>
      </c>
      <c r="Q48" s="38" t="str">
        <f aca="false">IF($L48="","",設定!$C$11)</f>
        <v/>
      </c>
      <c r="R48" s="38" t="str">
        <f aca="false">IF(OR($L48="",NOT(ISNUMBER($O48))),"",N($D48)+N($E48)+$M48+$N48+$O48+$P48+$Q48)</f>
        <v/>
      </c>
      <c r="S48" s="39" t="str">
        <f aca="false">IF($R48="","",$L48-$R48)</f>
        <v/>
      </c>
      <c r="T48" s="40" t="str">
        <f aca="false">IF(OR($S48="",N($L48)=0),"",$S48/$L48)</f>
        <v/>
      </c>
      <c r="U48" s="41" t="str">
        <f aca="false">IF(OR($L48="",NOT(ISNUMBER($O48))),"",IF(設定!$C$16-$X48&lt;=0,"設定を確認",MAX((設定!$C$8*設定!$C$4*(1-設定!$C$10)+$Y48+N($D48)+N($E48)+$O48+$Q48-N($G48)*設定!$C$4*設定!$C$16)/(設定!$C$4*(設定!$C$16-$X48)),(設定!$C$8*設定!$C$4*(1-設定!$C$10)+$Y48+N($D48)+N($E48)+$O48+$Q48+設定!$C$13-N($G48)*設定!$C$4*設定!$C$15)/(設定!$C$4*(設定!$C$15-$X48)))))</f>
        <v/>
      </c>
      <c r="V48" s="42" t="str">
        <f aca="false">IF($L48="","",IF(NOT(ISNUMBER($O48)),"要確認：重量が送料表の範囲外",IF(AND($T48&gt;=設定!$C$12,$S48&gt;=設定!$C$13,N($J48)&gt;=設定!$C$14),"◎ 出品候補",IF(AND($T48&gt;=設定!$C$12,$S48&gt;=設定!$C$13),"△ 利益OK・販売実績が不足","× 見送り"))))</f>
        <v/>
      </c>
      <c r="W48" s="3"/>
      <c r="X48" s="43" t="str">
        <f aca="false">IF($H48="","",INDEX(設定!$C$20:$C$23,MATCH($H48,設定!$A$20:$A$23,0)))</f>
        <v/>
      </c>
      <c r="Y48" s="44" t="str">
        <f aca="false">IF($H48="","",INDEX(設定!$D$20:$D$23,MATCH($H48,設定!$A$20:$A$23,0))+INDEX(設定!$E$20:$E$23,MATCH($H48,設定!$A$20:$A$23,0)))</f>
        <v/>
      </c>
    </row>
    <row r="49" customFormat="false" ht="15" hidden="false" customHeight="false" outlineLevel="0" collapsed="false">
      <c r="A49" s="34" t="n">
        <v>45</v>
      </c>
      <c r="B49" s="3"/>
      <c r="C49" s="3"/>
      <c r="D49" s="36"/>
      <c r="E49" s="36"/>
      <c r="F49" s="37"/>
      <c r="G49" s="37"/>
      <c r="H49" s="35"/>
      <c r="I49" s="36"/>
      <c r="J49" s="36"/>
      <c r="K49" s="3"/>
      <c r="L49" s="38" t="str">
        <f aca="false">IF(AND($D49&lt;&gt;"",$F49&lt;&gt;"",$H49&lt;&gt;"",$I49&lt;&gt;""),($F49+N($G49))*設定!$C$4,"")</f>
        <v/>
      </c>
      <c r="M49" s="38" t="str">
        <f aca="false">IF($L49="","",(($F49+N($G49))*(設定!$C$6+設定!$C$7+設定!$C$9)+設定!$C$8)*設定!$C$4)</f>
        <v/>
      </c>
      <c r="N49" s="38" t="str">
        <f aca="false">IF($L49="","",($L49-$M49)*設定!$C$10)</f>
        <v/>
      </c>
      <c r="O49" s="38" t="str">
        <f aca="false">IF($L49="","",IF($I49&gt;MAX(送料表!$B$5:$B$18),"範囲外",INDEX(送料表!$C$5:$F$18,MATCH($I49,送料表!$A$5:$A$18,1),MATCH($H49,送料表!$C$4:$F$4,0))))</f>
        <v/>
      </c>
      <c r="P49" s="38" t="str">
        <f aca="false">IF($L49="","",$F49*設定!$C$4*$X49+$Y49)</f>
        <v/>
      </c>
      <c r="Q49" s="38" t="str">
        <f aca="false">IF($L49="","",設定!$C$11)</f>
        <v/>
      </c>
      <c r="R49" s="38" t="str">
        <f aca="false">IF(OR($L49="",NOT(ISNUMBER($O49))),"",N($D49)+N($E49)+$M49+$N49+$O49+$P49+$Q49)</f>
        <v/>
      </c>
      <c r="S49" s="39" t="str">
        <f aca="false">IF($R49="","",$L49-$R49)</f>
        <v/>
      </c>
      <c r="T49" s="40" t="str">
        <f aca="false">IF(OR($S49="",N($L49)=0),"",$S49/$L49)</f>
        <v/>
      </c>
      <c r="U49" s="41" t="str">
        <f aca="false">IF(OR($L49="",NOT(ISNUMBER($O49))),"",IF(設定!$C$16-$X49&lt;=0,"設定を確認",MAX((設定!$C$8*設定!$C$4*(1-設定!$C$10)+$Y49+N($D49)+N($E49)+$O49+$Q49-N($G49)*設定!$C$4*設定!$C$16)/(設定!$C$4*(設定!$C$16-$X49)),(設定!$C$8*設定!$C$4*(1-設定!$C$10)+$Y49+N($D49)+N($E49)+$O49+$Q49+設定!$C$13-N($G49)*設定!$C$4*設定!$C$15)/(設定!$C$4*(設定!$C$15-$X49)))))</f>
        <v/>
      </c>
      <c r="V49" s="42" t="str">
        <f aca="false">IF($L49="","",IF(NOT(ISNUMBER($O49)),"要確認：重量が送料表の範囲外",IF(AND($T49&gt;=設定!$C$12,$S49&gt;=設定!$C$13,N($J49)&gt;=設定!$C$14),"◎ 出品候補",IF(AND($T49&gt;=設定!$C$12,$S49&gt;=設定!$C$13),"△ 利益OK・販売実績が不足","× 見送り"))))</f>
        <v/>
      </c>
      <c r="W49" s="3"/>
      <c r="X49" s="43" t="str">
        <f aca="false">IF($H49="","",INDEX(設定!$C$20:$C$23,MATCH($H49,設定!$A$20:$A$23,0)))</f>
        <v/>
      </c>
      <c r="Y49" s="44" t="str">
        <f aca="false">IF($H49="","",INDEX(設定!$D$20:$D$23,MATCH($H49,設定!$A$20:$A$23,0))+INDEX(設定!$E$20:$E$23,MATCH($H49,設定!$A$20:$A$23,0)))</f>
        <v/>
      </c>
    </row>
    <row r="50" customFormat="false" ht="15" hidden="false" customHeight="false" outlineLevel="0" collapsed="false">
      <c r="A50" s="34" t="n">
        <v>46</v>
      </c>
      <c r="B50" s="3"/>
      <c r="C50" s="3"/>
      <c r="D50" s="36"/>
      <c r="E50" s="36"/>
      <c r="F50" s="37"/>
      <c r="G50" s="37"/>
      <c r="H50" s="35"/>
      <c r="I50" s="36"/>
      <c r="J50" s="36"/>
      <c r="K50" s="3"/>
      <c r="L50" s="38" t="str">
        <f aca="false">IF(AND($D50&lt;&gt;"",$F50&lt;&gt;"",$H50&lt;&gt;"",$I50&lt;&gt;""),($F50+N($G50))*設定!$C$4,"")</f>
        <v/>
      </c>
      <c r="M50" s="38" t="str">
        <f aca="false">IF($L50="","",(($F50+N($G50))*(設定!$C$6+設定!$C$7+設定!$C$9)+設定!$C$8)*設定!$C$4)</f>
        <v/>
      </c>
      <c r="N50" s="38" t="str">
        <f aca="false">IF($L50="","",($L50-$M50)*設定!$C$10)</f>
        <v/>
      </c>
      <c r="O50" s="38" t="str">
        <f aca="false">IF($L50="","",IF($I50&gt;MAX(送料表!$B$5:$B$18),"範囲外",INDEX(送料表!$C$5:$F$18,MATCH($I50,送料表!$A$5:$A$18,1),MATCH($H50,送料表!$C$4:$F$4,0))))</f>
        <v/>
      </c>
      <c r="P50" s="38" t="str">
        <f aca="false">IF($L50="","",$F50*設定!$C$4*$X50+$Y50)</f>
        <v/>
      </c>
      <c r="Q50" s="38" t="str">
        <f aca="false">IF($L50="","",設定!$C$11)</f>
        <v/>
      </c>
      <c r="R50" s="38" t="str">
        <f aca="false">IF(OR($L50="",NOT(ISNUMBER($O50))),"",N($D50)+N($E50)+$M50+$N50+$O50+$P50+$Q50)</f>
        <v/>
      </c>
      <c r="S50" s="39" t="str">
        <f aca="false">IF($R50="","",$L50-$R50)</f>
        <v/>
      </c>
      <c r="T50" s="40" t="str">
        <f aca="false">IF(OR($S50="",N($L50)=0),"",$S50/$L50)</f>
        <v/>
      </c>
      <c r="U50" s="41" t="str">
        <f aca="false">IF(OR($L50="",NOT(ISNUMBER($O50))),"",IF(設定!$C$16-$X50&lt;=0,"設定を確認",MAX((設定!$C$8*設定!$C$4*(1-設定!$C$10)+$Y50+N($D50)+N($E50)+$O50+$Q50-N($G50)*設定!$C$4*設定!$C$16)/(設定!$C$4*(設定!$C$16-$X50)),(設定!$C$8*設定!$C$4*(1-設定!$C$10)+$Y50+N($D50)+N($E50)+$O50+$Q50+設定!$C$13-N($G50)*設定!$C$4*設定!$C$15)/(設定!$C$4*(設定!$C$15-$X50)))))</f>
        <v/>
      </c>
      <c r="V50" s="42" t="str">
        <f aca="false">IF($L50="","",IF(NOT(ISNUMBER($O50)),"要確認：重量が送料表の範囲外",IF(AND($T50&gt;=設定!$C$12,$S50&gt;=設定!$C$13,N($J50)&gt;=設定!$C$14),"◎ 出品候補",IF(AND($T50&gt;=設定!$C$12,$S50&gt;=設定!$C$13),"△ 利益OK・販売実績が不足","× 見送り"))))</f>
        <v/>
      </c>
      <c r="W50" s="3"/>
      <c r="X50" s="43" t="str">
        <f aca="false">IF($H50="","",INDEX(設定!$C$20:$C$23,MATCH($H50,設定!$A$20:$A$23,0)))</f>
        <v/>
      </c>
      <c r="Y50" s="44" t="str">
        <f aca="false">IF($H50="","",INDEX(設定!$D$20:$D$23,MATCH($H50,設定!$A$20:$A$23,0))+INDEX(設定!$E$20:$E$23,MATCH($H50,設定!$A$20:$A$23,0)))</f>
        <v/>
      </c>
    </row>
    <row r="51" customFormat="false" ht="15" hidden="false" customHeight="false" outlineLevel="0" collapsed="false">
      <c r="A51" s="34" t="n">
        <v>47</v>
      </c>
      <c r="B51" s="3"/>
      <c r="C51" s="3"/>
      <c r="D51" s="36"/>
      <c r="E51" s="36"/>
      <c r="F51" s="37"/>
      <c r="G51" s="37"/>
      <c r="H51" s="35"/>
      <c r="I51" s="36"/>
      <c r="J51" s="36"/>
      <c r="K51" s="3"/>
      <c r="L51" s="38" t="str">
        <f aca="false">IF(AND($D51&lt;&gt;"",$F51&lt;&gt;"",$H51&lt;&gt;"",$I51&lt;&gt;""),($F51+N($G51))*設定!$C$4,"")</f>
        <v/>
      </c>
      <c r="M51" s="38" t="str">
        <f aca="false">IF($L51="","",(($F51+N($G51))*(設定!$C$6+設定!$C$7+設定!$C$9)+設定!$C$8)*設定!$C$4)</f>
        <v/>
      </c>
      <c r="N51" s="38" t="str">
        <f aca="false">IF($L51="","",($L51-$M51)*設定!$C$10)</f>
        <v/>
      </c>
      <c r="O51" s="38" t="str">
        <f aca="false">IF($L51="","",IF($I51&gt;MAX(送料表!$B$5:$B$18),"範囲外",INDEX(送料表!$C$5:$F$18,MATCH($I51,送料表!$A$5:$A$18,1),MATCH($H51,送料表!$C$4:$F$4,0))))</f>
        <v/>
      </c>
      <c r="P51" s="38" t="str">
        <f aca="false">IF($L51="","",$F51*設定!$C$4*$X51+$Y51)</f>
        <v/>
      </c>
      <c r="Q51" s="38" t="str">
        <f aca="false">IF($L51="","",設定!$C$11)</f>
        <v/>
      </c>
      <c r="R51" s="38" t="str">
        <f aca="false">IF(OR($L51="",NOT(ISNUMBER($O51))),"",N($D51)+N($E51)+$M51+$N51+$O51+$P51+$Q51)</f>
        <v/>
      </c>
      <c r="S51" s="39" t="str">
        <f aca="false">IF($R51="","",$L51-$R51)</f>
        <v/>
      </c>
      <c r="T51" s="40" t="str">
        <f aca="false">IF(OR($S51="",N($L51)=0),"",$S51/$L51)</f>
        <v/>
      </c>
      <c r="U51" s="41" t="str">
        <f aca="false">IF(OR($L51="",NOT(ISNUMBER($O51))),"",IF(設定!$C$16-$X51&lt;=0,"設定を確認",MAX((設定!$C$8*設定!$C$4*(1-設定!$C$10)+$Y51+N($D51)+N($E51)+$O51+$Q51-N($G51)*設定!$C$4*設定!$C$16)/(設定!$C$4*(設定!$C$16-$X51)),(設定!$C$8*設定!$C$4*(1-設定!$C$10)+$Y51+N($D51)+N($E51)+$O51+$Q51+設定!$C$13-N($G51)*設定!$C$4*設定!$C$15)/(設定!$C$4*(設定!$C$15-$X51)))))</f>
        <v/>
      </c>
      <c r="V51" s="42" t="str">
        <f aca="false">IF($L51="","",IF(NOT(ISNUMBER($O51)),"要確認：重量が送料表の範囲外",IF(AND($T51&gt;=設定!$C$12,$S51&gt;=設定!$C$13,N($J51)&gt;=設定!$C$14),"◎ 出品候補",IF(AND($T51&gt;=設定!$C$12,$S51&gt;=設定!$C$13),"△ 利益OK・販売実績が不足","× 見送り"))))</f>
        <v/>
      </c>
      <c r="W51" s="3"/>
      <c r="X51" s="43" t="str">
        <f aca="false">IF($H51="","",INDEX(設定!$C$20:$C$23,MATCH($H51,設定!$A$20:$A$23,0)))</f>
        <v/>
      </c>
      <c r="Y51" s="44" t="str">
        <f aca="false">IF($H51="","",INDEX(設定!$D$20:$D$23,MATCH($H51,設定!$A$20:$A$23,0))+INDEX(設定!$E$20:$E$23,MATCH($H51,設定!$A$20:$A$23,0)))</f>
        <v/>
      </c>
    </row>
    <row r="52" customFormat="false" ht="15" hidden="false" customHeight="false" outlineLevel="0" collapsed="false">
      <c r="A52" s="34" t="n">
        <v>48</v>
      </c>
      <c r="B52" s="3"/>
      <c r="C52" s="3"/>
      <c r="D52" s="36"/>
      <c r="E52" s="36"/>
      <c r="F52" s="37"/>
      <c r="G52" s="37"/>
      <c r="H52" s="35"/>
      <c r="I52" s="36"/>
      <c r="J52" s="36"/>
      <c r="K52" s="3"/>
      <c r="L52" s="38" t="str">
        <f aca="false">IF(AND($D52&lt;&gt;"",$F52&lt;&gt;"",$H52&lt;&gt;"",$I52&lt;&gt;""),($F52+N($G52))*設定!$C$4,"")</f>
        <v/>
      </c>
      <c r="M52" s="38" t="str">
        <f aca="false">IF($L52="","",(($F52+N($G52))*(設定!$C$6+設定!$C$7+設定!$C$9)+設定!$C$8)*設定!$C$4)</f>
        <v/>
      </c>
      <c r="N52" s="38" t="str">
        <f aca="false">IF($L52="","",($L52-$M52)*設定!$C$10)</f>
        <v/>
      </c>
      <c r="O52" s="38" t="str">
        <f aca="false">IF($L52="","",IF($I52&gt;MAX(送料表!$B$5:$B$18),"範囲外",INDEX(送料表!$C$5:$F$18,MATCH($I52,送料表!$A$5:$A$18,1),MATCH($H52,送料表!$C$4:$F$4,0))))</f>
        <v/>
      </c>
      <c r="P52" s="38" t="str">
        <f aca="false">IF($L52="","",$F52*設定!$C$4*$X52+$Y52)</f>
        <v/>
      </c>
      <c r="Q52" s="38" t="str">
        <f aca="false">IF($L52="","",設定!$C$11)</f>
        <v/>
      </c>
      <c r="R52" s="38" t="str">
        <f aca="false">IF(OR($L52="",NOT(ISNUMBER($O52))),"",N($D52)+N($E52)+$M52+$N52+$O52+$P52+$Q52)</f>
        <v/>
      </c>
      <c r="S52" s="39" t="str">
        <f aca="false">IF($R52="","",$L52-$R52)</f>
        <v/>
      </c>
      <c r="T52" s="40" t="str">
        <f aca="false">IF(OR($S52="",N($L52)=0),"",$S52/$L52)</f>
        <v/>
      </c>
      <c r="U52" s="41" t="str">
        <f aca="false">IF(OR($L52="",NOT(ISNUMBER($O52))),"",IF(設定!$C$16-$X52&lt;=0,"設定を確認",MAX((設定!$C$8*設定!$C$4*(1-設定!$C$10)+$Y52+N($D52)+N($E52)+$O52+$Q52-N($G52)*設定!$C$4*設定!$C$16)/(設定!$C$4*(設定!$C$16-$X52)),(設定!$C$8*設定!$C$4*(1-設定!$C$10)+$Y52+N($D52)+N($E52)+$O52+$Q52+設定!$C$13-N($G52)*設定!$C$4*設定!$C$15)/(設定!$C$4*(設定!$C$15-$X52)))))</f>
        <v/>
      </c>
      <c r="V52" s="42" t="str">
        <f aca="false">IF($L52="","",IF(NOT(ISNUMBER($O52)),"要確認：重量が送料表の範囲外",IF(AND($T52&gt;=設定!$C$12,$S52&gt;=設定!$C$13,N($J52)&gt;=設定!$C$14),"◎ 出品候補",IF(AND($T52&gt;=設定!$C$12,$S52&gt;=設定!$C$13),"△ 利益OK・販売実績が不足","× 見送り"))))</f>
        <v/>
      </c>
      <c r="W52" s="3"/>
      <c r="X52" s="43" t="str">
        <f aca="false">IF($H52="","",INDEX(設定!$C$20:$C$23,MATCH($H52,設定!$A$20:$A$23,0)))</f>
        <v/>
      </c>
      <c r="Y52" s="44" t="str">
        <f aca="false">IF($H52="","",INDEX(設定!$D$20:$D$23,MATCH($H52,設定!$A$20:$A$23,0))+INDEX(設定!$E$20:$E$23,MATCH($H52,設定!$A$20:$A$23,0)))</f>
        <v/>
      </c>
    </row>
    <row r="53" customFormat="false" ht="15" hidden="false" customHeight="false" outlineLevel="0" collapsed="false">
      <c r="A53" s="34" t="n">
        <v>49</v>
      </c>
      <c r="B53" s="3"/>
      <c r="C53" s="3"/>
      <c r="D53" s="36"/>
      <c r="E53" s="36"/>
      <c r="F53" s="37"/>
      <c r="G53" s="37"/>
      <c r="H53" s="35"/>
      <c r="I53" s="36"/>
      <c r="J53" s="36"/>
      <c r="K53" s="3"/>
      <c r="L53" s="38" t="str">
        <f aca="false">IF(AND($D53&lt;&gt;"",$F53&lt;&gt;"",$H53&lt;&gt;"",$I53&lt;&gt;""),($F53+N($G53))*設定!$C$4,"")</f>
        <v/>
      </c>
      <c r="M53" s="38" t="str">
        <f aca="false">IF($L53="","",(($F53+N($G53))*(設定!$C$6+設定!$C$7+設定!$C$9)+設定!$C$8)*設定!$C$4)</f>
        <v/>
      </c>
      <c r="N53" s="38" t="str">
        <f aca="false">IF($L53="","",($L53-$M53)*設定!$C$10)</f>
        <v/>
      </c>
      <c r="O53" s="38" t="str">
        <f aca="false">IF($L53="","",IF($I53&gt;MAX(送料表!$B$5:$B$18),"範囲外",INDEX(送料表!$C$5:$F$18,MATCH($I53,送料表!$A$5:$A$18,1),MATCH($H53,送料表!$C$4:$F$4,0))))</f>
        <v/>
      </c>
      <c r="P53" s="38" t="str">
        <f aca="false">IF($L53="","",$F53*設定!$C$4*$X53+$Y53)</f>
        <v/>
      </c>
      <c r="Q53" s="38" t="str">
        <f aca="false">IF($L53="","",設定!$C$11)</f>
        <v/>
      </c>
      <c r="R53" s="38" t="str">
        <f aca="false">IF(OR($L53="",NOT(ISNUMBER($O53))),"",N($D53)+N($E53)+$M53+$N53+$O53+$P53+$Q53)</f>
        <v/>
      </c>
      <c r="S53" s="39" t="str">
        <f aca="false">IF($R53="","",$L53-$R53)</f>
        <v/>
      </c>
      <c r="T53" s="40" t="str">
        <f aca="false">IF(OR($S53="",N($L53)=0),"",$S53/$L53)</f>
        <v/>
      </c>
      <c r="U53" s="41" t="str">
        <f aca="false">IF(OR($L53="",NOT(ISNUMBER($O53))),"",IF(設定!$C$16-$X53&lt;=0,"設定を確認",MAX((設定!$C$8*設定!$C$4*(1-設定!$C$10)+$Y53+N($D53)+N($E53)+$O53+$Q53-N($G53)*設定!$C$4*設定!$C$16)/(設定!$C$4*(設定!$C$16-$X53)),(設定!$C$8*設定!$C$4*(1-設定!$C$10)+$Y53+N($D53)+N($E53)+$O53+$Q53+設定!$C$13-N($G53)*設定!$C$4*設定!$C$15)/(設定!$C$4*(設定!$C$15-$X53)))))</f>
        <v/>
      </c>
      <c r="V53" s="42" t="str">
        <f aca="false">IF($L53="","",IF(NOT(ISNUMBER($O53)),"要確認：重量が送料表の範囲外",IF(AND($T53&gt;=設定!$C$12,$S53&gt;=設定!$C$13,N($J53)&gt;=設定!$C$14),"◎ 出品候補",IF(AND($T53&gt;=設定!$C$12,$S53&gt;=設定!$C$13),"△ 利益OK・販売実績が不足","× 見送り"))))</f>
        <v/>
      </c>
      <c r="W53" s="3"/>
      <c r="X53" s="43" t="str">
        <f aca="false">IF($H53="","",INDEX(設定!$C$20:$C$23,MATCH($H53,設定!$A$20:$A$23,0)))</f>
        <v/>
      </c>
      <c r="Y53" s="44" t="str">
        <f aca="false">IF($H53="","",INDEX(設定!$D$20:$D$23,MATCH($H53,設定!$A$20:$A$23,0))+INDEX(設定!$E$20:$E$23,MATCH($H53,設定!$A$20:$A$23,0)))</f>
        <v/>
      </c>
    </row>
    <row r="54" customFormat="false" ht="15" hidden="false" customHeight="false" outlineLevel="0" collapsed="false">
      <c r="A54" s="34" t="n">
        <v>50</v>
      </c>
      <c r="B54" s="3"/>
      <c r="C54" s="3"/>
      <c r="D54" s="36"/>
      <c r="E54" s="36"/>
      <c r="F54" s="37"/>
      <c r="G54" s="37"/>
      <c r="H54" s="35"/>
      <c r="I54" s="36"/>
      <c r="J54" s="36"/>
      <c r="K54" s="3"/>
      <c r="L54" s="38" t="str">
        <f aca="false">IF(AND($D54&lt;&gt;"",$F54&lt;&gt;"",$H54&lt;&gt;"",$I54&lt;&gt;""),($F54+N($G54))*設定!$C$4,"")</f>
        <v/>
      </c>
      <c r="M54" s="38" t="str">
        <f aca="false">IF($L54="","",(($F54+N($G54))*(設定!$C$6+設定!$C$7+設定!$C$9)+設定!$C$8)*設定!$C$4)</f>
        <v/>
      </c>
      <c r="N54" s="38" t="str">
        <f aca="false">IF($L54="","",($L54-$M54)*設定!$C$10)</f>
        <v/>
      </c>
      <c r="O54" s="38" t="str">
        <f aca="false">IF($L54="","",IF($I54&gt;MAX(送料表!$B$5:$B$18),"範囲外",INDEX(送料表!$C$5:$F$18,MATCH($I54,送料表!$A$5:$A$18,1),MATCH($H54,送料表!$C$4:$F$4,0))))</f>
        <v/>
      </c>
      <c r="P54" s="38" t="str">
        <f aca="false">IF($L54="","",$F54*設定!$C$4*$X54+$Y54)</f>
        <v/>
      </c>
      <c r="Q54" s="38" t="str">
        <f aca="false">IF($L54="","",設定!$C$11)</f>
        <v/>
      </c>
      <c r="R54" s="38" t="str">
        <f aca="false">IF(OR($L54="",NOT(ISNUMBER($O54))),"",N($D54)+N($E54)+$M54+$N54+$O54+$P54+$Q54)</f>
        <v/>
      </c>
      <c r="S54" s="39" t="str">
        <f aca="false">IF($R54="","",$L54-$R54)</f>
        <v/>
      </c>
      <c r="T54" s="40" t="str">
        <f aca="false">IF(OR($S54="",N($L54)=0),"",$S54/$L54)</f>
        <v/>
      </c>
      <c r="U54" s="41" t="str">
        <f aca="false">IF(OR($L54="",NOT(ISNUMBER($O54))),"",IF(設定!$C$16-$X54&lt;=0,"設定を確認",MAX((設定!$C$8*設定!$C$4*(1-設定!$C$10)+$Y54+N($D54)+N($E54)+$O54+$Q54-N($G54)*設定!$C$4*設定!$C$16)/(設定!$C$4*(設定!$C$16-$X54)),(設定!$C$8*設定!$C$4*(1-設定!$C$10)+$Y54+N($D54)+N($E54)+$O54+$Q54+設定!$C$13-N($G54)*設定!$C$4*設定!$C$15)/(設定!$C$4*(設定!$C$15-$X54)))))</f>
        <v/>
      </c>
      <c r="V54" s="42" t="str">
        <f aca="false">IF($L54="","",IF(NOT(ISNUMBER($O54)),"要確認：重量が送料表の範囲外",IF(AND($T54&gt;=設定!$C$12,$S54&gt;=設定!$C$13,N($J54)&gt;=設定!$C$14),"◎ 出品候補",IF(AND($T54&gt;=設定!$C$12,$S54&gt;=設定!$C$13),"△ 利益OK・販売実績が不足","× 見送り"))))</f>
        <v/>
      </c>
      <c r="W54" s="3"/>
      <c r="X54" s="43" t="str">
        <f aca="false">IF($H54="","",INDEX(設定!$C$20:$C$23,MATCH($H54,設定!$A$20:$A$23,0)))</f>
        <v/>
      </c>
      <c r="Y54" s="44" t="str">
        <f aca="false">IF($H54="","",INDEX(設定!$D$20:$D$23,MATCH($H54,設定!$A$20:$A$23,0))+INDEX(設定!$E$20:$E$23,MATCH($H54,設定!$A$20:$A$23,0)))</f>
        <v/>
      </c>
    </row>
    <row r="55" customFormat="false" ht="15" hidden="false" customHeight="false" outlineLevel="0" collapsed="false">
      <c r="A55" s="34" t="n">
        <v>51</v>
      </c>
      <c r="B55" s="3"/>
      <c r="C55" s="3"/>
      <c r="D55" s="36"/>
      <c r="E55" s="36"/>
      <c r="F55" s="37"/>
      <c r="G55" s="37"/>
      <c r="H55" s="35"/>
      <c r="I55" s="36"/>
      <c r="J55" s="36"/>
      <c r="K55" s="3"/>
      <c r="L55" s="38" t="str">
        <f aca="false">IF(AND($D55&lt;&gt;"",$F55&lt;&gt;"",$H55&lt;&gt;"",$I55&lt;&gt;""),($F55+N($G55))*設定!$C$4,"")</f>
        <v/>
      </c>
      <c r="M55" s="38" t="str">
        <f aca="false">IF($L55="","",(($F55+N($G55))*(設定!$C$6+設定!$C$7+設定!$C$9)+設定!$C$8)*設定!$C$4)</f>
        <v/>
      </c>
      <c r="N55" s="38" t="str">
        <f aca="false">IF($L55="","",($L55-$M55)*設定!$C$10)</f>
        <v/>
      </c>
      <c r="O55" s="38" t="str">
        <f aca="false">IF($L55="","",IF($I55&gt;MAX(送料表!$B$5:$B$18),"範囲外",INDEX(送料表!$C$5:$F$18,MATCH($I55,送料表!$A$5:$A$18,1),MATCH($H55,送料表!$C$4:$F$4,0))))</f>
        <v/>
      </c>
      <c r="P55" s="38" t="str">
        <f aca="false">IF($L55="","",$F55*設定!$C$4*$X55+$Y55)</f>
        <v/>
      </c>
      <c r="Q55" s="38" t="str">
        <f aca="false">IF($L55="","",設定!$C$11)</f>
        <v/>
      </c>
      <c r="R55" s="38" t="str">
        <f aca="false">IF(OR($L55="",NOT(ISNUMBER($O55))),"",N($D55)+N($E55)+$M55+$N55+$O55+$P55+$Q55)</f>
        <v/>
      </c>
      <c r="S55" s="39" t="str">
        <f aca="false">IF($R55="","",$L55-$R55)</f>
        <v/>
      </c>
      <c r="T55" s="40" t="str">
        <f aca="false">IF(OR($S55="",N($L55)=0),"",$S55/$L55)</f>
        <v/>
      </c>
      <c r="U55" s="41" t="str">
        <f aca="false">IF(OR($L55="",NOT(ISNUMBER($O55))),"",IF(設定!$C$16-$X55&lt;=0,"設定を確認",MAX((設定!$C$8*設定!$C$4*(1-設定!$C$10)+$Y55+N($D55)+N($E55)+$O55+$Q55-N($G55)*設定!$C$4*設定!$C$16)/(設定!$C$4*(設定!$C$16-$X55)),(設定!$C$8*設定!$C$4*(1-設定!$C$10)+$Y55+N($D55)+N($E55)+$O55+$Q55+設定!$C$13-N($G55)*設定!$C$4*設定!$C$15)/(設定!$C$4*(設定!$C$15-$X55)))))</f>
        <v/>
      </c>
      <c r="V55" s="42" t="str">
        <f aca="false">IF($L55="","",IF(NOT(ISNUMBER($O55)),"要確認：重量が送料表の範囲外",IF(AND($T55&gt;=設定!$C$12,$S55&gt;=設定!$C$13,N($J55)&gt;=設定!$C$14),"◎ 出品候補",IF(AND($T55&gt;=設定!$C$12,$S55&gt;=設定!$C$13),"△ 利益OK・販売実績が不足","× 見送り"))))</f>
        <v/>
      </c>
      <c r="W55" s="3"/>
      <c r="X55" s="43" t="str">
        <f aca="false">IF($H55="","",INDEX(設定!$C$20:$C$23,MATCH($H55,設定!$A$20:$A$23,0)))</f>
        <v/>
      </c>
      <c r="Y55" s="44" t="str">
        <f aca="false">IF($H55="","",INDEX(設定!$D$20:$D$23,MATCH($H55,設定!$A$20:$A$23,0))+INDEX(設定!$E$20:$E$23,MATCH($H55,設定!$A$20:$A$23,0)))</f>
        <v/>
      </c>
    </row>
    <row r="56" customFormat="false" ht="15" hidden="false" customHeight="false" outlineLevel="0" collapsed="false">
      <c r="A56" s="34" t="n">
        <v>52</v>
      </c>
      <c r="B56" s="3"/>
      <c r="C56" s="3"/>
      <c r="D56" s="36"/>
      <c r="E56" s="36"/>
      <c r="F56" s="37"/>
      <c r="G56" s="37"/>
      <c r="H56" s="35"/>
      <c r="I56" s="36"/>
      <c r="J56" s="36"/>
      <c r="K56" s="3"/>
      <c r="L56" s="38" t="str">
        <f aca="false">IF(AND($D56&lt;&gt;"",$F56&lt;&gt;"",$H56&lt;&gt;"",$I56&lt;&gt;""),($F56+N($G56))*設定!$C$4,"")</f>
        <v/>
      </c>
      <c r="M56" s="38" t="str">
        <f aca="false">IF($L56="","",(($F56+N($G56))*(設定!$C$6+設定!$C$7+設定!$C$9)+設定!$C$8)*設定!$C$4)</f>
        <v/>
      </c>
      <c r="N56" s="38" t="str">
        <f aca="false">IF($L56="","",($L56-$M56)*設定!$C$10)</f>
        <v/>
      </c>
      <c r="O56" s="38" t="str">
        <f aca="false">IF($L56="","",IF($I56&gt;MAX(送料表!$B$5:$B$18),"範囲外",INDEX(送料表!$C$5:$F$18,MATCH($I56,送料表!$A$5:$A$18,1),MATCH($H56,送料表!$C$4:$F$4,0))))</f>
        <v/>
      </c>
      <c r="P56" s="38" t="str">
        <f aca="false">IF($L56="","",$F56*設定!$C$4*$X56+$Y56)</f>
        <v/>
      </c>
      <c r="Q56" s="38" t="str">
        <f aca="false">IF($L56="","",設定!$C$11)</f>
        <v/>
      </c>
      <c r="R56" s="38" t="str">
        <f aca="false">IF(OR($L56="",NOT(ISNUMBER($O56))),"",N($D56)+N($E56)+$M56+$N56+$O56+$P56+$Q56)</f>
        <v/>
      </c>
      <c r="S56" s="39" t="str">
        <f aca="false">IF($R56="","",$L56-$R56)</f>
        <v/>
      </c>
      <c r="T56" s="40" t="str">
        <f aca="false">IF(OR($S56="",N($L56)=0),"",$S56/$L56)</f>
        <v/>
      </c>
      <c r="U56" s="41" t="str">
        <f aca="false">IF(OR($L56="",NOT(ISNUMBER($O56))),"",IF(設定!$C$16-$X56&lt;=0,"設定を確認",MAX((設定!$C$8*設定!$C$4*(1-設定!$C$10)+$Y56+N($D56)+N($E56)+$O56+$Q56-N($G56)*設定!$C$4*設定!$C$16)/(設定!$C$4*(設定!$C$16-$X56)),(設定!$C$8*設定!$C$4*(1-設定!$C$10)+$Y56+N($D56)+N($E56)+$O56+$Q56+設定!$C$13-N($G56)*設定!$C$4*設定!$C$15)/(設定!$C$4*(設定!$C$15-$X56)))))</f>
        <v/>
      </c>
      <c r="V56" s="42" t="str">
        <f aca="false">IF($L56="","",IF(NOT(ISNUMBER($O56)),"要確認：重量が送料表の範囲外",IF(AND($T56&gt;=設定!$C$12,$S56&gt;=設定!$C$13,N($J56)&gt;=設定!$C$14),"◎ 出品候補",IF(AND($T56&gt;=設定!$C$12,$S56&gt;=設定!$C$13),"△ 利益OK・販売実績が不足","× 見送り"))))</f>
        <v/>
      </c>
      <c r="W56" s="3"/>
      <c r="X56" s="43" t="str">
        <f aca="false">IF($H56="","",INDEX(設定!$C$20:$C$23,MATCH($H56,設定!$A$20:$A$23,0)))</f>
        <v/>
      </c>
      <c r="Y56" s="44" t="str">
        <f aca="false">IF($H56="","",INDEX(設定!$D$20:$D$23,MATCH($H56,設定!$A$20:$A$23,0))+INDEX(設定!$E$20:$E$23,MATCH($H56,設定!$A$20:$A$23,0)))</f>
        <v/>
      </c>
    </row>
    <row r="57" customFormat="false" ht="15" hidden="false" customHeight="false" outlineLevel="0" collapsed="false">
      <c r="A57" s="34" t="n">
        <v>53</v>
      </c>
      <c r="B57" s="3"/>
      <c r="C57" s="3"/>
      <c r="D57" s="36"/>
      <c r="E57" s="36"/>
      <c r="F57" s="37"/>
      <c r="G57" s="37"/>
      <c r="H57" s="35"/>
      <c r="I57" s="36"/>
      <c r="J57" s="36"/>
      <c r="K57" s="3"/>
      <c r="L57" s="38" t="str">
        <f aca="false">IF(AND($D57&lt;&gt;"",$F57&lt;&gt;"",$H57&lt;&gt;"",$I57&lt;&gt;""),($F57+N($G57))*設定!$C$4,"")</f>
        <v/>
      </c>
      <c r="M57" s="38" t="str">
        <f aca="false">IF($L57="","",(($F57+N($G57))*(設定!$C$6+設定!$C$7+設定!$C$9)+設定!$C$8)*設定!$C$4)</f>
        <v/>
      </c>
      <c r="N57" s="38" t="str">
        <f aca="false">IF($L57="","",($L57-$M57)*設定!$C$10)</f>
        <v/>
      </c>
      <c r="O57" s="38" t="str">
        <f aca="false">IF($L57="","",IF($I57&gt;MAX(送料表!$B$5:$B$18),"範囲外",INDEX(送料表!$C$5:$F$18,MATCH($I57,送料表!$A$5:$A$18,1),MATCH($H57,送料表!$C$4:$F$4,0))))</f>
        <v/>
      </c>
      <c r="P57" s="38" t="str">
        <f aca="false">IF($L57="","",$F57*設定!$C$4*$X57+$Y57)</f>
        <v/>
      </c>
      <c r="Q57" s="38" t="str">
        <f aca="false">IF($L57="","",設定!$C$11)</f>
        <v/>
      </c>
      <c r="R57" s="38" t="str">
        <f aca="false">IF(OR($L57="",NOT(ISNUMBER($O57))),"",N($D57)+N($E57)+$M57+$N57+$O57+$P57+$Q57)</f>
        <v/>
      </c>
      <c r="S57" s="39" t="str">
        <f aca="false">IF($R57="","",$L57-$R57)</f>
        <v/>
      </c>
      <c r="T57" s="40" t="str">
        <f aca="false">IF(OR($S57="",N($L57)=0),"",$S57/$L57)</f>
        <v/>
      </c>
      <c r="U57" s="41" t="str">
        <f aca="false">IF(OR($L57="",NOT(ISNUMBER($O57))),"",IF(設定!$C$16-$X57&lt;=0,"設定を確認",MAX((設定!$C$8*設定!$C$4*(1-設定!$C$10)+$Y57+N($D57)+N($E57)+$O57+$Q57-N($G57)*設定!$C$4*設定!$C$16)/(設定!$C$4*(設定!$C$16-$X57)),(設定!$C$8*設定!$C$4*(1-設定!$C$10)+$Y57+N($D57)+N($E57)+$O57+$Q57+設定!$C$13-N($G57)*設定!$C$4*設定!$C$15)/(設定!$C$4*(設定!$C$15-$X57)))))</f>
        <v/>
      </c>
      <c r="V57" s="42" t="str">
        <f aca="false">IF($L57="","",IF(NOT(ISNUMBER($O57)),"要確認：重量が送料表の範囲外",IF(AND($T57&gt;=設定!$C$12,$S57&gt;=設定!$C$13,N($J57)&gt;=設定!$C$14),"◎ 出品候補",IF(AND($T57&gt;=設定!$C$12,$S57&gt;=設定!$C$13),"△ 利益OK・販売実績が不足","× 見送り"))))</f>
        <v/>
      </c>
      <c r="W57" s="3"/>
      <c r="X57" s="43" t="str">
        <f aca="false">IF($H57="","",INDEX(設定!$C$20:$C$23,MATCH($H57,設定!$A$20:$A$23,0)))</f>
        <v/>
      </c>
      <c r="Y57" s="44" t="str">
        <f aca="false">IF($H57="","",INDEX(設定!$D$20:$D$23,MATCH($H57,設定!$A$20:$A$23,0))+INDEX(設定!$E$20:$E$23,MATCH($H57,設定!$A$20:$A$23,0)))</f>
        <v/>
      </c>
    </row>
    <row r="58" customFormat="false" ht="15" hidden="false" customHeight="false" outlineLevel="0" collapsed="false">
      <c r="A58" s="34" t="n">
        <v>54</v>
      </c>
      <c r="B58" s="3"/>
      <c r="C58" s="3"/>
      <c r="D58" s="36"/>
      <c r="E58" s="36"/>
      <c r="F58" s="37"/>
      <c r="G58" s="37"/>
      <c r="H58" s="35"/>
      <c r="I58" s="36"/>
      <c r="J58" s="36"/>
      <c r="K58" s="3"/>
      <c r="L58" s="38" t="str">
        <f aca="false">IF(AND($D58&lt;&gt;"",$F58&lt;&gt;"",$H58&lt;&gt;"",$I58&lt;&gt;""),($F58+N($G58))*設定!$C$4,"")</f>
        <v/>
      </c>
      <c r="M58" s="38" t="str">
        <f aca="false">IF($L58="","",(($F58+N($G58))*(設定!$C$6+設定!$C$7+設定!$C$9)+設定!$C$8)*設定!$C$4)</f>
        <v/>
      </c>
      <c r="N58" s="38" t="str">
        <f aca="false">IF($L58="","",($L58-$M58)*設定!$C$10)</f>
        <v/>
      </c>
      <c r="O58" s="38" t="str">
        <f aca="false">IF($L58="","",IF($I58&gt;MAX(送料表!$B$5:$B$18),"範囲外",INDEX(送料表!$C$5:$F$18,MATCH($I58,送料表!$A$5:$A$18,1),MATCH($H58,送料表!$C$4:$F$4,0))))</f>
        <v/>
      </c>
      <c r="P58" s="38" t="str">
        <f aca="false">IF($L58="","",$F58*設定!$C$4*$X58+$Y58)</f>
        <v/>
      </c>
      <c r="Q58" s="38" t="str">
        <f aca="false">IF($L58="","",設定!$C$11)</f>
        <v/>
      </c>
      <c r="R58" s="38" t="str">
        <f aca="false">IF(OR($L58="",NOT(ISNUMBER($O58))),"",N($D58)+N($E58)+$M58+$N58+$O58+$P58+$Q58)</f>
        <v/>
      </c>
      <c r="S58" s="39" t="str">
        <f aca="false">IF($R58="","",$L58-$R58)</f>
        <v/>
      </c>
      <c r="T58" s="40" t="str">
        <f aca="false">IF(OR($S58="",N($L58)=0),"",$S58/$L58)</f>
        <v/>
      </c>
      <c r="U58" s="41" t="str">
        <f aca="false">IF(OR($L58="",NOT(ISNUMBER($O58))),"",IF(設定!$C$16-$X58&lt;=0,"設定を確認",MAX((設定!$C$8*設定!$C$4*(1-設定!$C$10)+$Y58+N($D58)+N($E58)+$O58+$Q58-N($G58)*設定!$C$4*設定!$C$16)/(設定!$C$4*(設定!$C$16-$X58)),(設定!$C$8*設定!$C$4*(1-設定!$C$10)+$Y58+N($D58)+N($E58)+$O58+$Q58+設定!$C$13-N($G58)*設定!$C$4*設定!$C$15)/(設定!$C$4*(設定!$C$15-$X58)))))</f>
        <v/>
      </c>
      <c r="V58" s="42" t="str">
        <f aca="false">IF($L58="","",IF(NOT(ISNUMBER($O58)),"要確認：重量が送料表の範囲外",IF(AND($T58&gt;=設定!$C$12,$S58&gt;=設定!$C$13,N($J58)&gt;=設定!$C$14),"◎ 出品候補",IF(AND($T58&gt;=設定!$C$12,$S58&gt;=設定!$C$13),"△ 利益OK・販売実績が不足","× 見送り"))))</f>
        <v/>
      </c>
      <c r="W58" s="3"/>
      <c r="X58" s="43" t="str">
        <f aca="false">IF($H58="","",INDEX(設定!$C$20:$C$23,MATCH($H58,設定!$A$20:$A$23,0)))</f>
        <v/>
      </c>
      <c r="Y58" s="44" t="str">
        <f aca="false">IF($H58="","",INDEX(設定!$D$20:$D$23,MATCH($H58,設定!$A$20:$A$23,0))+INDEX(設定!$E$20:$E$23,MATCH($H58,設定!$A$20:$A$23,0)))</f>
        <v/>
      </c>
    </row>
    <row r="59" customFormat="false" ht="15" hidden="false" customHeight="false" outlineLevel="0" collapsed="false">
      <c r="A59" s="34" t="n">
        <v>55</v>
      </c>
      <c r="B59" s="3"/>
      <c r="C59" s="3"/>
      <c r="D59" s="36"/>
      <c r="E59" s="36"/>
      <c r="F59" s="37"/>
      <c r="G59" s="37"/>
      <c r="H59" s="35"/>
      <c r="I59" s="36"/>
      <c r="J59" s="36"/>
      <c r="K59" s="3"/>
      <c r="L59" s="38" t="str">
        <f aca="false">IF(AND($D59&lt;&gt;"",$F59&lt;&gt;"",$H59&lt;&gt;"",$I59&lt;&gt;""),($F59+N($G59))*設定!$C$4,"")</f>
        <v/>
      </c>
      <c r="M59" s="38" t="str">
        <f aca="false">IF($L59="","",(($F59+N($G59))*(設定!$C$6+設定!$C$7+設定!$C$9)+設定!$C$8)*設定!$C$4)</f>
        <v/>
      </c>
      <c r="N59" s="38" t="str">
        <f aca="false">IF($L59="","",($L59-$M59)*設定!$C$10)</f>
        <v/>
      </c>
      <c r="O59" s="38" t="str">
        <f aca="false">IF($L59="","",IF($I59&gt;MAX(送料表!$B$5:$B$18),"範囲外",INDEX(送料表!$C$5:$F$18,MATCH($I59,送料表!$A$5:$A$18,1),MATCH($H59,送料表!$C$4:$F$4,0))))</f>
        <v/>
      </c>
      <c r="P59" s="38" t="str">
        <f aca="false">IF($L59="","",$F59*設定!$C$4*$X59+$Y59)</f>
        <v/>
      </c>
      <c r="Q59" s="38" t="str">
        <f aca="false">IF($L59="","",設定!$C$11)</f>
        <v/>
      </c>
      <c r="R59" s="38" t="str">
        <f aca="false">IF(OR($L59="",NOT(ISNUMBER($O59))),"",N($D59)+N($E59)+$M59+$N59+$O59+$P59+$Q59)</f>
        <v/>
      </c>
      <c r="S59" s="39" t="str">
        <f aca="false">IF($R59="","",$L59-$R59)</f>
        <v/>
      </c>
      <c r="T59" s="40" t="str">
        <f aca="false">IF(OR($S59="",N($L59)=0),"",$S59/$L59)</f>
        <v/>
      </c>
      <c r="U59" s="41" t="str">
        <f aca="false">IF(OR($L59="",NOT(ISNUMBER($O59))),"",IF(設定!$C$16-$X59&lt;=0,"設定を確認",MAX((設定!$C$8*設定!$C$4*(1-設定!$C$10)+$Y59+N($D59)+N($E59)+$O59+$Q59-N($G59)*設定!$C$4*設定!$C$16)/(設定!$C$4*(設定!$C$16-$X59)),(設定!$C$8*設定!$C$4*(1-設定!$C$10)+$Y59+N($D59)+N($E59)+$O59+$Q59+設定!$C$13-N($G59)*設定!$C$4*設定!$C$15)/(設定!$C$4*(設定!$C$15-$X59)))))</f>
        <v/>
      </c>
      <c r="V59" s="42" t="str">
        <f aca="false">IF($L59="","",IF(NOT(ISNUMBER($O59)),"要確認：重量が送料表の範囲外",IF(AND($T59&gt;=設定!$C$12,$S59&gt;=設定!$C$13,N($J59)&gt;=設定!$C$14),"◎ 出品候補",IF(AND($T59&gt;=設定!$C$12,$S59&gt;=設定!$C$13),"△ 利益OK・販売実績が不足","× 見送り"))))</f>
        <v/>
      </c>
      <c r="W59" s="3"/>
      <c r="X59" s="43" t="str">
        <f aca="false">IF($H59="","",INDEX(設定!$C$20:$C$23,MATCH($H59,設定!$A$20:$A$23,0)))</f>
        <v/>
      </c>
      <c r="Y59" s="44" t="str">
        <f aca="false">IF($H59="","",INDEX(設定!$D$20:$D$23,MATCH($H59,設定!$A$20:$A$23,0))+INDEX(設定!$E$20:$E$23,MATCH($H59,設定!$A$20:$A$23,0)))</f>
        <v/>
      </c>
    </row>
    <row r="60" customFormat="false" ht="15" hidden="false" customHeight="false" outlineLevel="0" collapsed="false">
      <c r="A60" s="34" t="n">
        <v>56</v>
      </c>
      <c r="B60" s="3"/>
      <c r="C60" s="3"/>
      <c r="D60" s="36"/>
      <c r="E60" s="36"/>
      <c r="F60" s="37"/>
      <c r="G60" s="37"/>
      <c r="H60" s="35"/>
      <c r="I60" s="36"/>
      <c r="J60" s="36"/>
      <c r="K60" s="3"/>
      <c r="L60" s="38" t="str">
        <f aca="false">IF(AND($D60&lt;&gt;"",$F60&lt;&gt;"",$H60&lt;&gt;"",$I60&lt;&gt;""),($F60+N($G60))*設定!$C$4,"")</f>
        <v/>
      </c>
      <c r="M60" s="38" t="str">
        <f aca="false">IF($L60="","",(($F60+N($G60))*(設定!$C$6+設定!$C$7+設定!$C$9)+設定!$C$8)*設定!$C$4)</f>
        <v/>
      </c>
      <c r="N60" s="38" t="str">
        <f aca="false">IF($L60="","",($L60-$M60)*設定!$C$10)</f>
        <v/>
      </c>
      <c r="O60" s="38" t="str">
        <f aca="false">IF($L60="","",IF($I60&gt;MAX(送料表!$B$5:$B$18),"範囲外",INDEX(送料表!$C$5:$F$18,MATCH($I60,送料表!$A$5:$A$18,1),MATCH($H60,送料表!$C$4:$F$4,0))))</f>
        <v/>
      </c>
      <c r="P60" s="38" t="str">
        <f aca="false">IF($L60="","",$F60*設定!$C$4*$X60+$Y60)</f>
        <v/>
      </c>
      <c r="Q60" s="38" t="str">
        <f aca="false">IF($L60="","",設定!$C$11)</f>
        <v/>
      </c>
      <c r="R60" s="38" t="str">
        <f aca="false">IF(OR($L60="",NOT(ISNUMBER($O60))),"",N($D60)+N($E60)+$M60+$N60+$O60+$P60+$Q60)</f>
        <v/>
      </c>
      <c r="S60" s="39" t="str">
        <f aca="false">IF($R60="","",$L60-$R60)</f>
        <v/>
      </c>
      <c r="T60" s="40" t="str">
        <f aca="false">IF(OR($S60="",N($L60)=0),"",$S60/$L60)</f>
        <v/>
      </c>
      <c r="U60" s="41" t="str">
        <f aca="false">IF(OR($L60="",NOT(ISNUMBER($O60))),"",IF(設定!$C$16-$X60&lt;=0,"設定を確認",MAX((設定!$C$8*設定!$C$4*(1-設定!$C$10)+$Y60+N($D60)+N($E60)+$O60+$Q60-N($G60)*設定!$C$4*設定!$C$16)/(設定!$C$4*(設定!$C$16-$X60)),(設定!$C$8*設定!$C$4*(1-設定!$C$10)+$Y60+N($D60)+N($E60)+$O60+$Q60+設定!$C$13-N($G60)*設定!$C$4*設定!$C$15)/(設定!$C$4*(設定!$C$15-$X60)))))</f>
        <v/>
      </c>
      <c r="V60" s="42" t="str">
        <f aca="false">IF($L60="","",IF(NOT(ISNUMBER($O60)),"要確認：重量が送料表の範囲外",IF(AND($T60&gt;=設定!$C$12,$S60&gt;=設定!$C$13,N($J60)&gt;=設定!$C$14),"◎ 出品候補",IF(AND($T60&gt;=設定!$C$12,$S60&gt;=設定!$C$13),"△ 利益OK・販売実績が不足","× 見送り"))))</f>
        <v/>
      </c>
      <c r="W60" s="3"/>
      <c r="X60" s="43" t="str">
        <f aca="false">IF($H60="","",INDEX(設定!$C$20:$C$23,MATCH($H60,設定!$A$20:$A$23,0)))</f>
        <v/>
      </c>
      <c r="Y60" s="44" t="str">
        <f aca="false">IF($H60="","",INDEX(設定!$D$20:$D$23,MATCH($H60,設定!$A$20:$A$23,0))+INDEX(設定!$E$20:$E$23,MATCH($H60,設定!$A$20:$A$23,0)))</f>
        <v/>
      </c>
    </row>
    <row r="61" customFormat="false" ht="15" hidden="false" customHeight="false" outlineLevel="0" collapsed="false">
      <c r="A61" s="34" t="n">
        <v>57</v>
      </c>
      <c r="B61" s="3"/>
      <c r="C61" s="3"/>
      <c r="D61" s="36"/>
      <c r="E61" s="36"/>
      <c r="F61" s="37"/>
      <c r="G61" s="37"/>
      <c r="H61" s="35"/>
      <c r="I61" s="36"/>
      <c r="J61" s="36"/>
      <c r="K61" s="3"/>
      <c r="L61" s="38" t="str">
        <f aca="false">IF(AND($D61&lt;&gt;"",$F61&lt;&gt;"",$H61&lt;&gt;"",$I61&lt;&gt;""),($F61+N($G61))*設定!$C$4,"")</f>
        <v/>
      </c>
      <c r="M61" s="38" t="str">
        <f aca="false">IF($L61="","",(($F61+N($G61))*(設定!$C$6+設定!$C$7+設定!$C$9)+設定!$C$8)*設定!$C$4)</f>
        <v/>
      </c>
      <c r="N61" s="38" t="str">
        <f aca="false">IF($L61="","",($L61-$M61)*設定!$C$10)</f>
        <v/>
      </c>
      <c r="O61" s="38" t="str">
        <f aca="false">IF($L61="","",IF($I61&gt;MAX(送料表!$B$5:$B$18),"範囲外",INDEX(送料表!$C$5:$F$18,MATCH($I61,送料表!$A$5:$A$18,1),MATCH($H61,送料表!$C$4:$F$4,0))))</f>
        <v/>
      </c>
      <c r="P61" s="38" t="str">
        <f aca="false">IF($L61="","",$F61*設定!$C$4*$X61+$Y61)</f>
        <v/>
      </c>
      <c r="Q61" s="38" t="str">
        <f aca="false">IF($L61="","",設定!$C$11)</f>
        <v/>
      </c>
      <c r="R61" s="38" t="str">
        <f aca="false">IF(OR($L61="",NOT(ISNUMBER($O61))),"",N($D61)+N($E61)+$M61+$N61+$O61+$P61+$Q61)</f>
        <v/>
      </c>
      <c r="S61" s="39" t="str">
        <f aca="false">IF($R61="","",$L61-$R61)</f>
        <v/>
      </c>
      <c r="T61" s="40" t="str">
        <f aca="false">IF(OR($S61="",N($L61)=0),"",$S61/$L61)</f>
        <v/>
      </c>
      <c r="U61" s="41" t="str">
        <f aca="false">IF(OR($L61="",NOT(ISNUMBER($O61))),"",IF(設定!$C$16-$X61&lt;=0,"設定を確認",MAX((設定!$C$8*設定!$C$4*(1-設定!$C$10)+$Y61+N($D61)+N($E61)+$O61+$Q61-N($G61)*設定!$C$4*設定!$C$16)/(設定!$C$4*(設定!$C$16-$X61)),(設定!$C$8*設定!$C$4*(1-設定!$C$10)+$Y61+N($D61)+N($E61)+$O61+$Q61+設定!$C$13-N($G61)*設定!$C$4*設定!$C$15)/(設定!$C$4*(設定!$C$15-$X61)))))</f>
        <v/>
      </c>
      <c r="V61" s="42" t="str">
        <f aca="false">IF($L61="","",IF(NOT(ISNUMBER($O61)),"要確認：重量が送料表の範囲外",IF(AND($T61&gt;=設定!$C$12,$S61&gt;=設定!$C$13,N($J61)&gt;=設定!$C$14),"◎ 出品候補",IF(AND($T61&gt;=設定!$C$12,$S61&gt;=設定!$C$13),"△ 利益OK・販売実績が不足","× 見送り"))))</f>
        <v/>
      </c>
      <c r="W61" s="3"/>
      <c r="X61" s="43" t="str">
        <f aca="false">IF($H61="","",INDEX(設定!$C$20:$C$23,MATCH($H61,設定!$A$20:$A$23,0)))</f>
        <v/>
      </c>
      <c r="Y61" s="44" t="str">
        <f aca="false">IF($H61="","",INDEX(設定!$D$20:$D$23,MATCH($H61,設定!$A$20:$A$23,0))+INDEX(設定!$E$20:$E$23,MATCH($H61,設定!$A$20:$A$23,0)))</f>
        <v/>
      </c>
    </row>
    <row r="62" customFormat="false" ht="15" hidden="false" customHeight="false" outlineLevel="0" collapsed="false">
      <c r="A62" s="34" t="n">
        <v>58</v>
      </c>
      <c r="B62" s="3"/>
      <c r="C62" s="3"/>
      <c r="D62" s="36"/>
      <c r="E62" s="36"/>
      <c r="F62" s="37"/>
      <c r="G62" s="37"/>
      <c r="H62" s="35"/>
      <c r="I62" s="36"/>
      <c r="J62" s="36"/>
      <c r="K62" s="3"/>
      <c r="L62" s="38" t="str">
        <f aca="false">IF(AND($D62&lt;&gt;"",$F62&lt;&gt;"",$H62&lt;&gt;"",$I62&lt;&gt;""),($F62+N($G62))*設定!$C$4,"")</f>
        <v/>
      </c>
      <c r="M62" s="38" t="str">
        <f aca="false">IF($L62="","",(($F62+N($G62))*(設定!$C$6+設定!$C$7+設定!$C$9)+設定!$C$8)*設定!$C$4)</f>
        <v/>
      </c>
      <c r="N62" s="38" t="str">
        <f aca="false">IF($L62="","",($L62-$M62)*設定!$C$10)</f>
        <v/>
      </c>
      <c r="O62" s="38" t="str">
        <f aca="false">IF($L62="","",IF($I62&gt;MAX(送料表!$B$5:$B$18),"範囲外",INDEX(送料表!$C$5:$F$18,MATCH($I62,送料表!$A$5:$A$18,1),MATCH($H62,送料表!$C$4:$F$4,0))))</f>
        <v/>
      </c>
      <c r="P62" s="38" t="str">
        <f aca="false">IF($L62="","",$F62*設定!$C$4*$X62+$Y62)</f>
        <v/>
      </c>
      <c r="Q62" s="38" t="str">
        <f aca="false">IF($L62="","",設定!$C$11)</f>
        <v/>
      </c>
      <c r="R62" s="38" t="str">
        <f aca="false">IF(OR($L62="",NOT(ISNUMBER($O62))),"",N($D62)+N($E62)+$M62+$N62+$O62+$P62+$Q62)</f>
        <v/>
      </c>
      <c r="S62" s="39" t="str">
        <f aca="false">IF($R62="","",$L62-$R62)</f>
        <v/>
      </c>
      <c r="T62" s="40" t="str">
        <f aca="false">IF(OR($S62="",N($L62)=0),"",$S62/$L62)</f>
        <v/>
      </c>
      <c r="U62" s="41" t="str">
        <f aca="false">IF(OR($L62="",NOT(ISNUMBER($O62))),"",IF(設定!$C$16-$X62&lt;=0,"設定を確認",MAX((設定!$C$8*設定!$C$4*(1-設定!$C$10)+$Y62+N($D62)+N($E62)+$O62+$Q62-N($G62)*設定!$C$4*設定!$C$16)/(設定!$C$4*(設定!$C$16-$X62)),(設定!$C$8*設定!$C$4*(1-設定!$C$10)+$Y62+N($D62)+N($E62)+$O62+$Q62+設定!$C$13-N($G62)*設定!$C$4*設定!$C$15)/(設定!$C$4*(設定!$C$15-$X62)))))</f>
        <v/>
      </c>
      <c r="V62" s="42" t="str">
        <f aca="false">IF($L62="","",IF(NOT(ISNUMBER($O62)),"要確認：重量が送料表の範囲外",IF(AND($T62&gt;=設定!$C$12,$S62&gt;=設定!$C$13,N($J62)&gt;=設定!$C$14),"◎ 出品候補",IF(AND($T62&gt;=設定!$C$12,$S62&gt;=設定!$C$13),"△ 利益OK・販売実績が不足","× 見送り"))))</f>
        <v/>
      </c>
      <c r="W62" s="3"/>
      <c r="X62" s="43" t="str">
        <f aca="false">IF($H62="","",INDEX(設定!$C$20:$C$23,MATCH($H62,設定!$A$20:$A$23,0)))</f>
        <v/>
      </c>
      <c r="Y62" s="44" t="str">
        <f aca="false">IF($H62="","",INDEX(設定!$D$20:$D$23,MATCH($H62,設定!$A$20:$A$23,0))+INDEX(設定!$E$20:$E$23,MATCH($H62,設定!$A$20:$A$23,0)))</f>
        <v/>
      </c>
    </row>
    <row r="63" customFormat="false" ht="15" hidden="false" customHeight="false" outlineLevel="0" collapsed="false">
      <c r="A63" s="34" t="n">
        <v>59</v>
      </c>
      <c r="B63" s="3"/>
      <c r="C63" s="3"/>
      <c r="D63" s="36"/>
      <c r="E63" s="36"/>
      <c r="F63" s="37"/>
      <c r="G63" s="37"/>
      <c r="H63" s="35"/>
      <c r="I63" s="36"/>
      <c r="J63" s="36"/>
      <c r="K63" s="3"/>
      <c r="L63" s="38" t="str">
        <f aca="false">IF(AND($D63&lt;&gt;"",$F63&lt;&gt;"",$H63&lt;&gt;"",$I63&lt;&gt;""),($F63+N($G63))*設定!$C$4,"")</f>
        <v/>
      </c>
      <c r="M63" s="38" t="str">
        <f aca="false">IF($L63="","",(($F63+N($G63))*(設定!$C$6+設定!$C$7+設定!$C$9)+設定!$C$8)*設定!$C$4)</f>
        <v/>
      </c>
      <c r="N63" s="38" t="str">
        <f aca="false">IF($L63="","",($L63-$M63)*設定!$C$10)</f>
        <v/>
      </c>
      <c r="O63" s="38" t="str">
        <f aca="false">IF($L63="","",IF($I63&gt;MAX(送料表!$B$5:$B$18),"範囲外",INDEX(送料表!$C$5:$F$18,MATCH($I63,送料表!$A$5:$A$18,1),MATCH($H63,送料表!$C$4:$F$4,0))))</f>
        <v/>
      </c>
      <c r="P63" s="38" t="str">
        <f aca="false">IF($L63="","",$F63*設定!$C$4*$X63+$Y63)</f>
        <v/>
      </c>
      <c r="Q63" s="38" t="str">
        <f aca="false">IF($L63="","",設定!$C$11)</f>
        <v/>
      </c>
      <c r="R63" s="38" t="str">
        <f aca="false">IF(OR($L63="",NOT(ISNUMBER($O63))),"",N($D63)+N($E63)+$M63+$N63+$O63+$P63+$Q63)</f>
        <v/>
      </c>
      <c r="S63" s="39" t="str">
        <f aca="false">IF($R63="","",$L63-$R63)</f>
        <v/>
      </c>
      <c r="T63" s="40" t="str">
        <f aca="false">IF(OR($S63="",N($L63)=0),"",$S63/$L63)</f>
        <v/>
      </c>
      <c r="U63" s="41" t="str">
        <f aca="false">IF(OR($L63="",NOT(ISNUMBER($O63))),"",IF(設定!$C$16-$X63&lt;=0,"設定を確認",MAX((設定!$C$8*設定!$C$4*(1-設定!$C$10)+$Y63+N($D63)+N($E63)+$O63+$Q63-N($G63)*設定!$C$4*設定!$C$16)/(設定!$C$4*(設定!$C$16-$X63)),(設定!$C$8*設定!$C$4*(1-設定!$C$10)+$Y63+N($D63)+N($E63)+$O63+$Q63+設定!$C$13-N($G63)*設定!$C$4*設定!$C$15)/(設定!$C$4*(設定!$C$15-$X63)))))</f>
        <v/>
      </c>
      <c r="V63" s="42" t="str">
        <f aca="false">IF($L63="","",IF(NOT(ISNUMBER($O63)),"要確認：重量が送料表の範囲外",IF(AND($T63&gt;=設定!$C$12,$S63&gt;=設定!$C$13,N($J63)&gt;=設定!$C$14),"◎ 出品候補",IF(AND($T63&gt;=設定!$C$12,$S63&gt;=設定!$C$13),"△ 利益OK・販売実績が不足","× 見送り"))))</f>
        <v/>
      </c>
      <c r="W63" s="3"/>
      <c r="X63" s="43" t="str">
        <f aca="false">IF($H63="","",INDEX(設定!$C$20:$C$23,MATCH($H63,設定!$A$20:$A$23,0)))</f>
        <v/>
      </c>
      <c r="Y63" s="44" t="str">
        <f aca="false">IF($H63="","",INDEX(設定!$D$20:$D$23,MATCH($H63,設定!$A$20:$A$23,0))+INDEX(設定!$E$20:$E$23,MATCH($H63,設定!$A$20:$A$23,0)))</f>
        <v/>
      </c>
    </row>
    <row r="64" customFormat="false" ht="15" hidden="false" customHeight="false" outlineLevel="0" collapsed="false">
      <c r="A64" s="34" t="n">
        <v>60</v>
      </c>
      <c r="B64" s="3"/>
      <c r="C64" s="3"/>
      <c r="D64" s="36"/>
      <c r="E64" s="36"/>
      <c r="F64" s="37"/>
      <c r="G64" s="37"/>
      <c r="H64" s="35"/>
      <c r="I64" s="36"/>
      <c r="J64" s="36"/>
      <c r="K64" s="3"/>
      <c r="L64" s="38" t="str">
        <f aca="false">IF(AND($D64&lt;&gt;"",$F64&lt;&gt;"",$H64&lt;&gt;"",$I64&lt;&gt;""),($F64+N($G64))*設定!$C$4,"")</f>
        <v/>
      </c>
      <c r="M64" s="38" t="str">
        <f aca="false">IF($L64="","",(($F64+N($G64))*(設定!$C$6+設定!$C$7+設定!$C$9)+設定!$C$8)*設定!$C$4)</f>
        <v/>
      </c>
      <c r="N64" s="38" t="str">
        <f aca="false">IF($L64="","",($L64-$M64)*設定!$C$10)</f>
        <v/>
      </c>
      <c r="O64" s="38" t="str">
        <f aca="false">IF($L64="","",IF($I64&gt;MAX(送料表!$B$5:$B$18),"範囲外",INDEX(送料表!$C$5:$F$18,MATCH($I64,送料表!$A$5:$A$18,1),MATCH($H64,送料表!$C$4:$F$4,0))))</f>
        <v/>
      </c>
      <c r="P64" s="38" t="str">
        <f aca="false">IF($L64="","",$F64*設定!$C$4*$X64+$Y64)</f>
        <v/>
      </c>
      <c r="Q64" s="38" t="str">
        <f aca="false">IF($L64="","",設定!$C$11)</f>
        <v/>
      </c>
      <c r="R64" s="38" t="str">
        <f aca="false">IF(OR($L64="",NOT(ISNUMBER($O64))),"",N($D64)+N($E64)+$M64+$N64+$O64+$P64+$Q64)</f>
        <v/>
      </c>
      <c r="S64" s="39" t="str">
        <f aca="false">IF($R64="","",$L64-$R64)</f>
        <v/>
      </c>
      <c r="T64" s="40" t="str">
        <f aca="false">IF(OR($S64="",N($L64)=0),"",$S64/$L64)</f>
        <v/>
      </c>
      <c r="U64" s="41" t="str">
        <f aca="false">IF(OR($L64="",NOT(ISNUMBER($O64))),"",IF(設定!$C$16-$X64&lt;=0,"設定を確認",MAX((設定!$C$8*設定!$C$4*(1-設定!$C$10)+$Y64+N($D64)+N($E64)+$O64+$Q64-N($G64)*設定!$C$4*設定!$C$16)/(設定!$C$4*(設定!$C$16-$X64)),(設定!$C$8*設定!$C$4*(1-設定!$C$10)+$Y64+N($D64)+N($E64)+$O64+$Q64+設定!$C$13-N($G64)*設定!$C$4*設定!$C$15)/(設定!$C$4*(設定!$C$15-$X64)))))</f>
        <v/>
      </c>
      <c r="V64" s="42" t="str">
        <f aca="false">IF($L64="","",IF(NOT(ISNUMBER($O64)),"要確認：重量が送料表の範囲外",IF(AND($T64&gt;=設定!$C$12,$S64&gt;=設定!$C$13,N($J64)&gt;=設定!$C$14),"◎ 出品候補",IF(AND($T64&gt;=設定!$C$12,$S64&gt;=設定!$C$13),"△ 利益OK・販売実績が不足","× 見送り"))))</f>
        <v/>
      </c>
      <c r="W64" s="3"/>
      <c r="X64" s="43" t="str">
        <f aca="false">IF($H64="","",INDEX(設定!$C$20:$C$23,MATCH($H64,設定!$A$20:$A$23,0)))</f>
        <v/>
      </c>
      <c r="Y64" s="44" t="str">
        <f aca="false">IF($H64="","",INDEX(設定!$D$20:$D$23,MATCH($H64,設定!$A$20:$A$23,0))+INDEX(設定!$E$20:$E$23,MATCH($H64,設定!$A$20:$A$23,0)))</f>
        <v/>
      </c>
    </row>
    <row r="65" customFormat="false" ht="15" hidden="false" customHeight="false" outlineLevel="0" collapsed="false">
      <c r="A65" s="34" t="n">
        <v>61</v>
      </c>
      <c r="B65" s="3"/>
      <c r="C65" s="3"/>
      <c r="D65" s="36"/>
      <c r="E65" s="36"/>
      <c r="F65" s="37"/>
      <c r="G65" s="37"/>
      <c r="H65" s="35"/>
      <c r="I65" s="36"/>
      <c r="J65" s="36"/>
      <c r="K65" s="3"/>
      <c r="L65" s="38" t="str">
        <f aca="false">IF(AND($D65&lt;&gt;"",$F65&lt;&gt;"",$H65&lt;&gt;"",$I65&lt;&gt;""),($F65+N($G65))*設定!$C$4,"")</f>
        <v/>
      </c>
      <c r="M65" s="38" t="str">
        <f aca="false">IF($L65="","",(($F65+N($G65))*(設定!$C$6+設定!$C$7+設定!$C$9)+設定!$C$8)*設定!$C$4)</f>
        <v/>
      </c>
      <c r="N65" s="38" t="str">
        <f aca="false">IF($L65="","",($L65-$M65)*設定!$C$10)</f>
        <v/>
      </c>
      <c r="O65" s="38" t="str">
        <f aca="false">IF($L65="","",IF($I65&gt;MAX(送料表!$B$5:$B$18),"範囲外",INDEX(送料表!$C$5:$F$18,MATCH($I65,送料表!$A$5:$A$18,1),MATCH($H65,送料表!$C$4:$F$4,0))))</f>
        <v/>
      </c>
      <c r="P65" s="38" t="str">
        <f aca="false">IF($L65="","",$F65*設定!$C$4*$X65+$Y65)</f>
        <v/>
      </c>
      <c r="Q65" s="38" t="str">
        <f aca="false">IF($L65="","",設定!$C$11)</f>
        <v/>
      </c>
      <c r="R65" s="38" t="str">
        <f aca="false">IF(OR($L65="",NOT(ISNUMBER($O65))),"",N($D65)+N($E65)+$M65+$N65+$O65+$P65+$Q65)</f>
        <v/>
      </c>
      <c r="S65" s="39" t="str">
        <f aca="false">IF($R65="","",$L65-$R65)</f>
        <v/>
      </c>
      <c r="T65" s="40" t="str">
        <f aca="false">IF(OR($S65="",N($L65)=0),"",$S65/$L65)</f>
        <v/>
      </c>
      <c r="U65" s="41" t="str">
        <f aca="false">IF(OR($L65="",NOT(ISNUMBER($O65))),"",IF(設定!$C$16-$X65&lt;=0,"設定を確認",MAX((設定!$C$8*設定!$C$4*(1-設定!$C$10)+$Y65+N($D65)+N($E65)+$O65+$Q65-N($G65)*設定!$C$4*設定!$C$16)/(設定!$C$4*(設定!$C$16-$X65)),(設定!$C$8*設定!$C$4*(1-設定!$C$10)+$Y65+N($D65)+N($E65)+$O65+$Q65+設定!$C$13-N($G65)*設定!$C$4*設定!$C$15)/(設定!$C$4*(設定!$C$15-$X65)))))</f>
        <v/>
      </c>
      <c r="V65" s="42" t="str">
        <f aca="false">IF($L65="","",IF(NOT(ISNUMBER($O65)),"要確認：重量が送料表の範囲外",IF(AND($T65&gt;=設定!$C$12,$S65&gt;=設定!$C$13,N($J65)&gt;=設定!$C$14),"◎ 出品候補",IF(AND($T65&gt;=設定!$C$12,$S65&gt;=設定!$C$13),"△ 利益OK・販売実績が不足","× 見送り"))))</f>
        <v/>
      </c>
      <c r="W65" s="3"/>
      <c r="X65" s="43" t="str">
        <f aca="false">IF($H65="","",INDEX(設定!$C$20:$C$23,MATCH($H65,設定!$A$20:$A$23,0)))</f>
        <v/>
      </c>
      <c r="Y65" s="44" t="str">
        <f aca="false">IF($H65="","",INDEX(設定!$D$20:$D$23,MATCH($H65,設定!$A$20:$A$23,0))+INDEX(設定!$E$20:$E$23,MATCH($H65,設定!$A$20:$A$23,0)))</f>
        <v/>
      </c>
    </row>
    <row r="66" customFormat="false" ht="15" hidden="false" customHeight="false" outlineLevel="0" collapsed="false">
      <c r="A66" s="34" t="n">
        <v>62</v>
      </c>
      <c r="B66" s="3"/>
      <c r="C66" s="3"/>
      <c r="D66" s="36"/>
      <c r="E66" s="36"/>
      <c r="F66" s="37"/>
      <c r="G66" s="37"/>
      <c r="H66" s="35"/>
      <c r="I66" s="36"/>
      <c r="J66" s="36"/>
      <c r="K66" s="3"/>
      <c r="L66" s="38" t="str">
        <f aca="false">IF(AND($D66&lt;&gt;"",$F66&lt;&gt;"",$H66&lt;&gt;"",$I66&lt;&gt;""),($F66+N($G66))*設定!$C$4,"")</f>
        <v/>
      </c>
      <c r="M66" s="38" t="str">
        <f aca="false">IF($L66="","",(($F66+N($G66))*(設定!$C$6+設定!$C$7+設定!$C$9)+設定!$C$8)*設定!$C$4)</f>
        <v/>
      </c>
      <c r="N66" s="38" t="str">
        <f aca="false">IF($L66="","",($L66-$M66)*設定!$C$10)</f>
        <v/>
      </c>
      <c r="O66" s="38" t="str">
        <f aca="false">IF($L66="","",IF($I66&gt;MAX(送料表!$B$5:$B$18),"範囲外",INDEX(送料表!$C$5:$F$18,MATCH($I66,送料表!$A$5:$A$18,1),MATCH($H66,送料表!$C$4:$F$4,0))))</f>
        <v/>
      </c>
      <c r="P66" s="38" t="str">
        <f aca="false">IF($L66="","",$F66*設定!$C$4*$X66+$Y66)</f>
        <v/>
      </c>
      <c r="Q66" s="38" t="str">
        <f aca="false">IF($L66="","",設定!$C$11)</f>
        <v/>
      </c>
      <c r="R66" s="38" t="str">
        <f aca="false">IF(OR($L66="",NOT(ISNUMBER($O66))),"",N($D66)+N($E66)+$M66+$N66+$O66+$P66+$Q66)</f>
        <v/>
      </c>
      <c r="S66" s="39" t="str">
        <f aca="false">IF($R66="","",$L66-$R66)</f>
        <v/>
      </c>
      <c r="T66" s="40" t="str">
        <f aca="false">IF(OR($S66="",N($L66)=0),"",$S66/$L66)</f>
        <v/>
      </c>
      <c r="U66" s="41" t="str">
        <f aca="false">IF(OR($L66="",NOT(ISNUMBER($O66))),"",IF(設定!$C$16-$X66&lt;=0,"設定を確認",MAX((設定!$C$8*設定!$C$4*(1-設定!$C$10)+$Y66+N($D66)+N($E66)+$O66+$Q66-N($G66)*設定!$C$4*設定!$C$16)/(設定!$C$4*(設定!$C$16-$X66)),(設定!$C$8*設定!$C$4*(1-設定!$C$10)+$Y66+N($D66)+N($E66)+$O66+$Q66+設定!$C$13-N($G66)*設定!$C$4*設定!$C$15)/(設定!$C$4*(設定!$C$15-$X66)))))</f>
        <v/>
      </c>
      <c r="V66" s="42" t="str">
        <f aca="false">IF($L66="","",IF(NOT(ISNUMBER($O66)),"要確認：重量が送料表の範囲外",IF(AND($T66&gt;=設定!$C$12,$S66&gt;=設定!$C$13,N($J66)&gt;=設定!$C$14),"◎ 出品候補",IF(AND($T66&gt;=設定!$C$12,$S66&gt;=設定!$C$13),"△ 利益OK・販売実績が不足","× 見送り"))))</f>
        <v/>
      </c>
      <c r="W66" s="3"/>
      <c r="X66" s="43" t="str">
        <f aca="false">IF($H66="","",INDEX(設定!$C$20:$C$23,MATCH($H66,設定!$A$20:$A$23,0)))</f>
        <v/>
      </c>
      <c r="Y66" s="44" t="str">
        <f aca="false">IF($H66="","",INDEX(設定!$D$20:$D$23,MATCH($H66,設定!$A$20:$A$23,0))+INDEX(設定!$E$20:$E$23,MATCH($H66,設定!$A$20:$A$23,0)))</f>
        <v/>
      </c>
    </row>
    <row r="67" customFormat="false" ht="15" hidden="false" customHeight="false" outlineLevel="0" collapsed="false">
      <c r="A67" s="34" t="n">
        <v>63</v>
      </c>
      <c r="B67" s="3"/>
      <c r="C67" s="3"/>
      <c r="D67" s="36"/>
      <c r="E67" s="36"/>
      <c r="F67" s="37"/>
      <c r="G67" s="37"/>
      <c r="H67" s="35"/>
      <c r="I67" s="36"/>
      <c r="J67" s="36"/>
      <c r="K67" s="3"/>
      <c r="L67" s="38" t="str">
        <f aca="false">IF(AND($D67&lt;&gt;"",$F67&lt;&gt;"",$H67&lt;&gt;"",$I67&lt;&gt;""),($F67+N($G67))*設定!$C$4,"")</f>
        <v/>
      </c>
      <c r="M67" s="38" t="str">
        <f aca="false">IF($L67="","",(($F67+N($G67))*(設定!$C$6+設定!$C$7+設定!$C$9)+設定!$C$8)*設定!$C$4)</f>
        <v/>
      </c>
      <c r="N67" s="38" t="str">
        <f aca="false">IF($L67="","",($L67-$M67)*設定!$C$10)</f>
        <v/>
      </c>
      <c r="O67" s="38" t="str">
        <f aca="false">IF($L67="","",IF($I67&gt;MAX(送料表!$B$5:$B$18),"範囲外",INDEX(送料表!$C$5:$F$18,MATCH($I67,送料表!$A$5:$A$18,1),MATCH($H67,送料表!$C$4:$F$4,0))))</f>
        <v/>
      </c>
      <c r="P67" s="38" t="str">
        <f aca="false">IF($L67="","",$F67*設定!$C$4*$X67+$Y67)</f>
        <v/>
      </c>
      <c r="Q67" s="38" t="str">
        <f aca="false">IF($L67="","",設定!$C$11)</f>
        <v/>
      </c>
      <c r="R67" s="38" t="str">
        <f aca="false">IF(OR($L67="",NOT(ISNUMBER($O67))),"",N($D67)+N($E67)+$M67+$N67+$O67+$P67+$Q67)</f>
        <v/>
      </c>
      <c r="S67" s="39" t="str">
        <f aca="false">IF($R67="","",$L67-$R67)</f>
        <v/>
      </c>
      <c r="T67" s="40" t="str">
        <f aca="false">IF(OR($S67="",N($L67)=0),"",$S67/$L67)</f>
        <v/>
      </c>
      <c r="U67" s="41" t="str">
        <f aca="false">IF(OR($L67="",NOT(ISNUMBER($O67))),"",IF(設定!$C$16-$X67&lt;=0,"設定を確認",MAX((設定!$C$8*設定!$C$4*(1-設定!$C$10)+$Y67+N($D67)+N($E67)+$O67+$Q67-N($G67)*設定!$C$4*設定!$C$16)/(設定!$C$4*(設定!$C$16-$X67)),(設定!$C$8*設定!$C$4*(1-設定!$C$10)+$Y67+N($D67)+N($E67)+$O67+$Q67+設定!$C$13-N($G67)*設定!$C$4*設定!$C$15)/(設定!$C$4*(設定!$C$15-$X67)))))</f>
        <v/>
      </c>
      <c r="V67" s="42" t="str">
        <f aca="false">IF($L67="","",IF(NOT(ISNUMBER($O67)),"要確認：重量が送料表の範囲外",IF(AND($T67&gt;=設定!$C$12,$S67&gt;=設定!$C$13,N($J67)&gt;=設定!$C$14),"◎ 出品候補",IF(AND($T67&gt;=設定!$C$12,$S67&gt;=設定!$C$13),"△ 利益OK・販売実績が不足","× 見送り"))))</f>
        <v/>
      </c>
      <c r="W67" s="3"/>
      <c r="X67" s="43" t="str">
        <f aca="false">IF($H67="","",INDEX(設定!$C$20:$C$23,MATCH($H67,設定!$A$20:$A$23,0)))</f>
        <v/>
      </c>
      <c r="Y67" s="44" t="str">
        <f aca="false">IF($H67="","",INDEX(設定!$D$20:$D$23,MATCH($H67,設定!$A$20:$A$23,0))+INDEX(設定!$E$20:$E$23,MATCH($H67,設定!$A$20:$A$23,0)))</f>
        <v/>
      </c>
    </row>
    <row r="68" customFormat="false" ht="15" hidden="false" customHeight="false" outlineLevel="0" collapsed="false">
      <c r="A68" s="34" t="n">
        <v>64</v>
      </c>
      <c r="B68" s="3"/>
      <c r="C68" s="3"/>
      <c r="D68" s="36"/>
      <c r="E68" s="36"/>
      <c r="F68" s="37"/>
      <c r="G68" s="37"/>
      <c r="H68" s="35"/>
      <c r="I68" s="36"/>
      <c r="J68" s="36"/>
      <c r="K68" s="3"/>
      <c r="L68" s="38" t="str">
        <f aca="false">IF(AND($D68&lt;&gt;"",$F68&lt;&gt;"",$H68&lt;&gt;"",$I68&lt;&gt;""),($F68+N($G68))*設定!$C$4,"")</f>
        <v/>
      </c>
      <c r="M68" s="38" t="str">
        <f aca="false">IF($L68="","",(($F68+N($G68))*(設定!$C$6+設定!$C$7+設定!$C$9)+設定!$C$8)*設定!$C$4)</f>
        <v/>
      </c>
      <c r="N68" s="38" t="str">
        <f aca="false">IF($L68="","",($L68-$M68)*設定!$C$10)</f>
        <v/>
      </c>
      <c r="O68" s="38" t="str">
        <f aca="false">IF($L68="","",IF($I68&gt;MAX(送料表!$B$5:$B$18),"範囲外",INDEX(送料表!$C$5:$F$18,MATCH($I68,送料表!$A$5:$A$18,1),MATCH($H68,送料表!$C$4:$F$4,0))))</f>
        <v/>
      </c>
      <c r="P68" s="38" t="str">
        <f aca="false">IF($L68="","",$F68*設定!$C$4*$X68+$Y68)</f>
        <v/>
      </c>
      <c r="Q68" s="38" t="str">
        <f aca="false">IF($L68="","",設定!$C$11)</f>
        <v/>
      </c>
      <c r="R68" s="38" t="str">
        <f aca="false">IF(OR($L68="",NOT(ISNUMBER($O68))),"",N($D68)+N($E68)+$M68+$N68+$O68+$P68+$Q68)</f>
        <v/>
      </c>
      <c r="S68" s="39" t="str">
        <f aca="false">IF($R68="","",$L68-$R68)</f>
        <v/>
      </c>
      <c r="T68" s="40" t="str">
        <f aca="false">IF(OR($S68="",N($L68)=0),"",$S68/$L68)</f>
        <v/>
      </c>
      <c r="U68" s="41" t="str">
        <f aca="false">IF(OR($L68="",NOT(ISNUMBER($O68))),"",IF(設定!$C$16-$X68&lt;=0,"設定を確認",MAX((設定!$C$8*設定!$C$4*(1-設定!$C$10)+$Y68+N($D68)+N($E68)+$O68+$Q68-N($G68)*設定!$C$4*設定!$C$16)/(設定!$C$4*(設定!$C$16-$X68)),(設定!$C$8*設定!$C$4*(1-設定!$C$10)+$Y68+N($D68)+N($E68)+$O68+$Q68+設定!$C$13-N($G68)*設定!$C$4*設定!$C$15)/(設定!$C$4*(設定!$C$15-$X68)))))</f>
        <v/>
      </c>
      <c r="V68" s="42" t="str">
        <f aca="false">IF($L68="","",IF(NOT(ISNUMBER($O68)),"要確認：重量が送料表の範囲外",IF(AND($T68&gt;=設定!$C$12,$S68&gt;=設定!$C$13,N($J68)&gt;=設定!$C$14),"◎ 出品候補",IF(AND($T68&gt;=設定!$C$12,$S68&gt;=設定!$C$13),"△ 利益OK・販売実績が不足","× 見送り"))))</f>
        <v/>
      </c>
      <c r="W68" s="3"/>
      <c r="X68" s="43" t="str">
        <f aca="false">IF($H68="","",INDEX(設定!$C$20:$C$23,MATCH($H68,設定!$A$20:$A$23,0)))</f>
        <v/>
      </c>
      <c r="Y68" s="44" t="str">
        <f aca="false">IF($H68="","",INDEX(設定!$D$20:$D$23,MATCH($H68,設定!$A$20:$A$23,0))+INDEX(設定!$E$20:$E$23,MATCH($H68,設定!$A$20:$A$23,0)))</f>
        <v/>
      </c>
    </row>
    <row r="69" customFormat="false" ht="15" hidden="false" customHeight="false" outlineLevel="0" collapsed="false">
      <c r="A69" s="34" t="n">
        <v>65</v>
      </c>
      <c r="B69" s="3"/>
      <c r="C69" s="3"/>
      <c r="D69" s="36"/>
      <c r="E69" s="36"/>
      <c r="F69" s="37"/>
      <c r="G69" s="37"/>
      <c r="H69" s="35"/>
      <c r="I69" s="36"/>
      <c r="J69" s="36"/>
      <c r="K69" s="3"/>
      <c r="L69" s="38" t="str">
        <f aca="false">IF(AND($D69&lt;&gt;"",$F69&lt;&gt;"",$H69&lt;&gt;"",$I69&lt;&gt;""),($F69+N($G69))*設定!$C$4,"")</f>
        <v/>
      </c>
      <c r="M69" s="38" t="str">
        <f aca="false">IF($L69="","",(($F69+N($G69))*(設定!$C$6+設定!$C$7+設定!$C$9)+設定!$C$8)*設定!$C$4)</f>
        <v/>
      </c>
      <c r="N69" s="38" t="str">
        <f aca="false">IF($L69="","",($L69-$M69)*設定!$C$10)</f>
        <v/>
      </c>
      <c r="O69" s="38" t="str">
        <f aca="false">IF($L69="","",IF($I69&gt;MAX(送料表!$B$5:$B$18),"範囲外",INDEX(送料表!$C$5:$F$18,MATCH($I69,送料表!$A$5:$A$18,1),MATCH($H69,送料表!$C$4:$F$4,0))))</f>
        <v/>
      </c>
      <c r="P69" s="38" t="str">
        <f aca="false">IF($L69="","",$F69*設定!$C$4*$X69+$Y69)</f>
        <v/>
      </c>
      <c r="Q69" s="38" t="str">
        <f aca="false">IF($L69="","",設定!$C$11)</f>
        <v/>
      </c>
      <c r="R69" s="38" t="str">
        <f aca="false">IF(OR($L69="",NOT(ISNUMBER($O69))),"",N($D69)+N($E69)+$M69+$N69+$O69+$P69+$Q69)</f>
        <v/>
      </c>
      <c r="S69" s="39" t="str">
        <f aca="false">IF($R69="","",$L69-$R69)</f>
        <v/>
      </c>
      <c r="T69" s="40" t="str">
        <f aca="false">IF(OR($S69="",N($L69)=0),"",$S69/$L69)</f>
        <v/>
      </c>
      <c r="U69" s="41" t="str">
        <f aca="false">IF(OR($L69="",NOT(ISNUMBER($O69))),"",IF(設定!$C$16-$X69&lt;=0,"設定を確認",MAX((設定!$C$8*設定!$C$4*(1-設定!$C$10)+$Y69+N($D69)+N($E69)+$O69+$Q69-N($G69)*設定!$C$4*設定!$C$16)/(設定!$C$4*(設定!$C$16-$X69)),(設定!$C$8*設定!$C$4*(1-設定!$C$10)+$Y69+N($D69)+N($E69)+$O69+$Q69+設定!$C$13-N($G69)*設定!$C$4*設定!$C$15)/(設定!$C$4*(設定!$C$15-$X69)))))</f>
        <v/>
      </c>
      <c r="V69" s="42" t="str">
        <f aca="false">IF($L69="","",IF(NOT(ISNUMBER($O69)),"要確認：重量が送料表の範囲外",IF(AND($T69&gt;=設定!$C$12,$S69&gt;=設定!$C$13,N($J69)&gt;=設定!$C$14),"◎ 出品候補",IF(AND($T69&gt;=設定!$C$12,$S69&gt;=設定!$C$13),"△ 利益OK・販売実績が不足","× 見送り"))))</f>
        <v/>
      </c>
      <c r="W69" s="3"/>
      <c r="X69" s="43" t="str">
        <f aca="false">IF($H69="","",INDEX(設定!$C$20:$C$23,MATCH($H69,設定!$A$20:$A$23,0)))</f>
        <v/>
      </c>
      <c r="Y69" s="44" t="str">
        <f aca="false">IF($H69="","",INDEX(設定!$D$20:$D$23,MATCH($H69,設定!$A$20:$A$23,0))+INDEX(設定!$E$20:$E$23,MATCH($H69,設定!$A$20:$A$23,0)))</f>
        <v/>
      </c>
    </row>
    <row r="70" customFormat="false" ht="15" hidden="false" customHeight="false" outlineLevel="0" collapsed="false">
      <c r="A70" s="34" t="n">
        <v>66</v>
      </c>
      <c r="B70" s="3"/>
      <c r="C70" s="3"/>
      <c r="D70" s="36"/>
      <c r="E70" s="36"/>
      <c r="F70" s="37"/>
      <c r="G70" s="37"/>
      <c r="H70" s="35"/>
      <c r="I70" s="36"/>
      <c r="J70" s="36"/>
      <c r="K70" s="3"/>
      <c r="L70" s="38" t="str">
        <f aca="false">IF(AND($D70&lt;&gt;"",$F70&lt;&gt;"",$H70&lt;&gt;"",$I70&lt;&gt;""),($F70+N($G70))*設定!$C$4,"")</f>
        <v/>
      </c>
      <c r="M70" s="38" t="str">
        <f aca="false">IF($L70="","",(($F70+N($G70))*(設定!$C$6+設定!$C$7+設定!$C$9)+設定!$C$8)*設定!$C$4)</f>
        <v/>
      </c>
      <c r="N70" s="38" t="str">
        <f aca="false">IF($L70="","",($L70-$M70)*設定!$C$10)</f>
        <v/>
      </c>
      <c r="O70" s="38" t="str">
        <f aca="false">IF($L70="","",IF($I70&gt;MAX(送料表!$B$5:$B$18),"範囲外",INDEX(送料表!$C$5:$F$18,MATCH($I70,送料表!$A$5:$A$18,1),MATCH($H70,送料表!$C$4:$F$4,0))))</f>
        <v/>
      </c>
      <c r="P70" s="38" t="str">
        <f aca="false">IF($L70="","",$F70*設定!$C$4*$X70+$Y70)</f>
        <v/>
      </c>
      <c r="Q70" s="38" t="str">
        <f aca="false">IF($L70="","",設定!$C$11)</f>
        <v/>
      </c>
      <c r="R70" s="38" t="str">
        <f aca="false">IF(OR($L70="",NOT(ISNUMBER($O70))),"",N($D70)+N($E70)+$M70+$N70+$O70+$P70+$Q70)</f>
        <v/>
      </c>
      <c r="S70" s="39" t="str">
        <f aca="false">IF($R70="","",$L70-$R70)</f>
        <v/>
      </c>
      <c r="T70" s="40" t="str">
        <f aca="false">IF(OR($S70="",N($L70)=0),"",$S70/$L70)</f>
        <v/>
      </c>
      <c r="U70" s="41" t="str">
        <f aca="false">IF(OR($L70="",NOT(ISNUMBER($O70))),"",IF(設定!$C$16-$X70&lt;=0,"設定を確認",MAX((設定!$C$8*設定!$C$4*(1-設定!$C$10)+$Y70+N($D70)+N($E70)+$O70+$Q70-N($G70)*設定!$C$4*設定!$C$16)/(設定!$C$4*(設定!$C$16-$X70)),(設定!$C$8*設定!$C$4*(1-設定!$C$10)+$Y70+N($D70)+N($E70)+$O70+$Q70+設定!$C$13-N($G70)*設定!$C$4*設定!$C$15)/(設定!$C$4*(設定!$C$15-$X70)))))</f>
        <v/>
      </c>
      <c r="V70" s="42" t="str">
        <f aca="false">IF($L70="","",IF(NOT(ISNUMBER($O70)),"要確認：重量が送料表の範囲外",IF(AND($T70&gt;=設定!$C$12,$S70&gt;=設定!$C$13,N($J70)&gt;=設定!$C$14),"◎ 出品候補",IF(AND($T70&gt;=設定!$C$12,$S70&gt;=設定!$C$13),"△ 利益OK・販売実績が不足","× 見送り"))))</f>
        <v/>
      </c>
      <c r="W70" s="3"/>
      <c r="X70" s="43" t="str">
        <f aca="false">IF($H70="","",INDEX(設定!$C$20:$C$23,MATCH($H70,設定!$A$20:$A$23,0)))</f>
        <v/>
      </c>
      <c r="Y70" s="44" t="str">
        <f aca="false">IF($H70="","",INDEX(設定!$D$20:$D$23,MATCH($H70,設定!$A$20:$A$23,0))+INDEX(設定!$E$20:$E$23,MATCH($H70,設定!$A$20:$A$23,0)))</f>
        <v/>
      </c>
    </row>
    <row r="71" customFormat="false" ht="15" hidden="false" customHeight="false" outlineLevel="0" collapsed="false">
      <c r="A71" s="34" t="n">
        <v>67</v>
      </c>
      <c r="B71" s="3"/>
      <c r="C71" s="3"/>
      <c r="D71" s="36"/>
      <c r="E71" s="36"/>
      <c r="F71" s="37"/>
      <c r="G71" s="37"/>
      <c r="H71" s="35"/>
      <c r="I71" s="36"/>
      <c r="J71" s="36"/>
      <c r="K71" s="3"/>
      <c r="L71" s="38" t="str">
        <f aca="false">IF(AND($D71&lt;&gt;"",$F71&lt;&gt;"",$H71&lt;&gt;"",$I71&lt;&gt;""),($F71+N($G71))*設定!$C$4,"")</f>
        <v/>
      </c>
      <c r="M71" s="38" t="str">
        <f aca="false">IF($L71="","",(($F71+N($G71))*(設定!$C$6+設定!$C$7+設定!$C$9)+設定!$C$8)*設定!$C$4)</f>
        <v/>
      </c>
      <c r="N71" s="38" t="str">
        <f aca="false">IF($L71="","",($L71-$M71)*設定!$C$10)</f>
        <v/>
      </c>
      <c r="O71" s="38" t="str">
        <f aca="false">IF($L71="","",IF($I71&gt;MAX(送料表!$B$5:$B$18),"範囲外",INDEX(送料表!$C$5:$F$18,MATCH($I71,送料表!$A$5:$A$18,1),MATCH($H71,送料表!$C$4:$F$4,0))))</f>
        <v/>
      </c>
      <c r="P71" s="38" t="str">
        <f aca="false">IF($L71="","",$F71*設定!$C$4*$X71+$Y71)</f>
        <v/>
      </c>
      <c r="Q71" s="38" t="str">
        <f aca="false">IF($L71="","",設定!$C$11)</f>
        <v/>
      </c>
      <c r="R71" s="38" t="str">
        <f aca="false">IF(OR($L71="",NOT(ISNUMBER($O71))),"",N($D71)+N($E71)+$M71+$N71+$O71+$P71+$Q71)</f>
        <v/>
      </c>
      <c r="S71" s="39" t="str">
        <f aca="false">IF($R71="","",$L71-$R71)</f>
        <v/>
      </c>
      <c r="T71" s="40" t="str">
        <f aca="false">IF(OR($S71="",N($L71)=0),"",$S71/$L71)</f>
        <v/>
      </c>
      <c r="U71" s="41" t="str">
        <f aca="false">IF(OR($L71="",NOT(ISNUMBER($O71))),"",IF(設定!$C$16-$X71&lt;=0,"設定を確認",MAX((設定!$C$8*設定!$C$4*(1-設定!$C$10)+$Y71+N($D71)+N($E71)+$O71+$Q71-N($G71)*設定!$C$4*設定!$C$16)/(設定!$C$4*(設定!$C$16-$X71)),(設定!$C$8*設定!$C$4*(1-設定!$C$10)+$Y71+N($D71)+N($E71)+$O71+$Q71+設定!$C$13-N($G71)*設定!$C$4*設定!$C$15)/(設定!$C$4*(設定!$C$15-$X71)))))</f>
        <v/>
      </c>
      <c r="V71" s="42" t="str">
        <f aca="false">IF($L71="","",IF(NOT(ISNUMBER($O71)),"要確認：重量が送料表の範囲外",IF(AND($T71&gt;=設定!$C$12,$S71&gt;=設定!$C$13,N($J71)&gt;=設定!$C$14),"◎ 出品候補",IF(AND($T71&gt;=設定!$C$12,$S71&gt;=設定!$C$13),"△ 利益OK・販売実績が不足","× 見送り"))))</f>
        <v/>
      </c>
      <c r="W71" s="3"/>
      <c r="X71" s="43" t="str">
        <f aca="false">IF($H71="","",INDEX(設定!$C$20:$C$23,MATCH($H71,設定!$A$20:$A$23,0)))</f>
        <v/>
      </c>
      <c r="Y71" s="44" t="str">
        <f aca="false">IF($H71="","",INDEX(設定!$D$20:$D$23,MATCH($H71,設定!$A$20:$A$23,0))+INDEX(設定!$E$20:$E$23,MATCH($H71,設定!$A$20:$A$23,0)))</f>
        <v/>
      </c>
    </row>
    <row r="72" customFormat="false" ht="15" hidden="false" customHeight="false" outlineLevel="0" collapsed="false">
      <c r="A72" s="34" t="n">
        <v>68</v>
      </c>
      <c r="B72" s="3"/>
      <c r="C72" s="3"/>
      <c r="D72" s="36"/>
      <c r="E72" s="36"/>
      <c r="F72" s="37"/>
      <c r="G72" s="37"/>
      <c r="H72" s="35"/>
      <c r="I72" s="36"/>
      <c r="J72" s="36"/>
      <c r="K72" s="3"/>
      <c r="L72" s="38" t="str">
        <f aca="false">IF(AND($D72&lt;&gt;"",$F72&lt;&gt;"",$H72&lt;&gt;"",$I72&lt;&gt;""),($F72+N($G72))*設定!$C$4,"")</f>
        <v/>
      </c>
      <c r="M72" s="38" t="str">
        <f aca="false">IF($L72="","",(($F72+N($G72))*(設定!$C$6+設定!$C$7+設定!$C$9)+設定!$C$8)*設定!$C$4)</f>
        <v/>
      </c>
      <c r="N72" s="38" t="str">
        <f aca="false">IF($L72="","",($L72-$M72)*設定!$C$10)</f>
        <v/>
      </c>
      <c r="O72" s="38" t="str">
        <f aca="false">IF($L72="","",IF($I72&gt;MAX(送料表!$B$5:$B$18),"範囲外",INDEX(送料表!$C$5:$F$18,MATCH($I72,送料表!$A$5:$A$18,1),MATCH($H72,送料表!$C$4:$F$4,0))))</f>
        <v/>
      </c>
      <c r="P72" s="38" t="str">
        <f aca="false">IF($L72="","",$F72*設定!$C$4*$X72+$Y72)</f>
        <v/>
      </c>
      <c r="Q72" s="38" t="str">
        <f aca="false">IF($L72="","",設定!$C$11)</f>
        <v/>
      </c>
      <c r="R72" s="38" t="str">
        <f aca="false">IF(OR($L72="",NOT(ISNUMBER($O72))),"",N($D72)+N($E72)+$M72+$N72+$O72+$P72+$Q72)</f>
        <v/>
      </c>
      <c r="S72" s="39" t="str">
        <f aca="false">IF($R72="","",$L72-$R72)</f>
        <v/>
      </c>
      <c r="T72" s="40" t="str">
        <f aca="false">IF(OR($S72="",N($L72)=0),"",$S72/$L72)</f>
        <v/>
      </c>
      <c r="U72" s="41" t="str">
        <f aca="false">IF(OR($L72="",NOT(ISNUMBER($O72))),"",IF(設定!$C$16-$X72&lt;=0,"設定を確認",MAX((設定!$C$8*設定!$C$4*(1-設定!$C$10)+$Y72+N($D72)+N($E72)+$O72+$Q72-N($G72)*設定!$C$4*設定!$C$16)/(設定!$C$4*(設定!$C$16-$X72)),(設定!$C$8*設定!$C$4*(1-設定!$C$10)+$Y72+N($D72)+N($E72)+$O72+$Q72+設定!$C$13-N($G72)*設定!$C$4*設定!$C$15)/(設定!$C$4*(設定!$C$15-$X72)))))</f>
        <v/>
      </c>
      <c r="V72" s="42" t="str">
        <f aca="false">IF($L72="","",IF(NOT(ISNUMBER($O72)),"要確認：重量が送料表の範囲外",IF(AND($T72&gt;=設定!$C$12,$S72&gt;=設定!$C$13,N($J72)&gt;=設定!$C$14),"◎ 出品候補",IF(AND($T72&gt;=設定!$C$12,$S72&gt;=設定!$C$13),"△ 利益OK・販売実績が不足","× 見送り"))))</f>
        <v/>
      </c>
      <c r="W72" s="3"/>
      <c r="X72" s="43" t="str">
        <f aca="false">IF($H72="","",INDEX(設定!$C$20:$C$23,MATCH($H72,設定!$A$20:$A$23,0)))</f>
        <v/>
      </c>
      <c r="Y72" s="44" t="str">
        <f aca="false">IF($H72="","",INDEX(設定!$D$20:$D$23,MATCH($H72,設定!$A$20:$A$23,0))+INDEX(設定!$E$20:$E$23,MATCH($H72,設定!$A$20:$A$23,0)))</f>
        <v/>
      </c>
    </row>
    <row r="73" customFormat="false" ht="15" hidden="false" customHeight="false" outlineLevel="0" collapsed="false">
      <c r="A73" s="34" t="n">
        <v>69</v>
      </c>
      <c r="B73" s="3"/>
      <c r="C73" s="3"/>
      <c r="D73" s="36"/>
      <c r="E73" s="36"/>
      <c r="F73" s="37"/>
      <c r="G73" s="37"/>
      <c r="H73" s="35"/>
      <c r="I73" s="36"/>
      <c r="J73" s="36"/>
      <c r="K73" s="3"/>
      <c r="L73" s="38" t="str">
        <f aca="false">IF(AND($D73&lt;&gt;"",$F73&lt;&gt;"",$H73&lt;&gt;"",$I73&lt;&gt;""),($F73+N($G73))*設定!$C$4,"")</f>
        <v/>
      </c>
      <c r="M73" s="38" t="str">
        <f aca="false">IF($L73="","",(($F73+N($G73))*(設定!$C$6+設定!$C$7+設定!$C$9)+設定!$C$8)*設定!$C$4)</f>
        <v/>
      </c>
      <c r="N73" s="38" t="str">
        <f aca="false">IF($L73="","",($L73-$M73)*設定!$C$10)</f>
        <v/>
      </c>
      <c r="O73" s="38" t="str">
        <f aca="false">IF($L73="","",IF($I73&gt;MAX(送料表!$B$5:$B$18),"範囲外",INDEX(送料表!$C$5:$F$18,MATCH($I73,送料表!$A$5:$A$18,1),MATCH($H73,送料表!$C$4:$F$4,0))))</f>
        <v/>
      </c>
      <c r="P73" s="38" t="str">
        <f aca="false">IF($L73="","",$F73*設定!$C$4*$X73+$Y73)</f>
        <v/>
      </c>
      <c r="Q73" s="38" t="str">
        <f aca="false">IF($L73="","",設定!$C$11)</f>
        <v/>
      </c>
      <c r="R73" s="38" t="str">
        <f aca="false">IF(OR($L73="",NOT(ISNUMBER($O73))),"",N($D73)+N($E73)+$M73+$N73+$O73+$P73+$Q73)</f>
        <v/>
      </c>
      <c r="S73" s="39" t="str">
        <f aca="false">IF($R73="","",$L73-$R73)</f>
        <v/>
      </c>
      <c r="T73" s="40" t="str">
        <f aca="false">IF(OR($S73="",N($L73)=0),"",$S73/$L73)</f>
        <v/>
      </c>
      <c r="U73" s="41" t="str">
        <f aca="false">IF(OR($L73="",NOT(ISNUMBER($O73))),"",IF(設定!$C$16-$X73&lt;=0,"設定を確認",MAX((設定!$C$8*設定!$C$4*(1-設定!$C$10)+$Y73+N($D73)+N($E73)+$O73+$Q73-N($G73)*設定!$C$4*設定!$C$16)/(設定!$C$4*(設定!$C$16-$X73)),(設定!$C$8*設定!$C$4*(1-設定!$C$10)+$Y73+N($D73)+N($E73)+$O73+$Q73+設定!$C$13-N($G73)*設定!$C$4*設定!$C$15)/(設定!$C$4*(設定!$C$15-$X73)))))</f>
        <v/>
      </c>
      <c r="V73" s="42" t="str">
        <f aca="false">IF($L73="","",IF(NOT(ISNUMBER($O73)),"要確認：重量が送料表の範囲外",IF(AND($T73&gt;=設定!$C$12,$S73&gt;=設定!$C$13,N($J73)&gt;=設定!$C$14),"◎ 出品候補",IF(AND($T73&gt;=設定!$C$12,$S73&gt;=設定!$C$13),"△ 利益OK・販売実績が不足","× 見送り"))))</f>
        <v/>
      </c>
      <c r="W73" s="3"/>
      <c r="X73" s="43" t="str">
        <f aca="false">IF($H73="","",INDEX(設定!$C$20:$C$23,MATCH($H73,設定!$A$20:$A$23,0)))</f>
        <v/>
      </c>
      <c r="Y73" s="44" t="str">
        <f aca="false">IF($H73="","",INDEX(設定!$D$20:$D$23,MATCH($H73,設定!$A$20:$A$23,0))+INDEX(設定!$E$20:$E$23,MATCH($H73,設定!$A$20:$A$23,0)))</f>
        <v/>
      </c>
    </row>
    <row r="74" customFormat="false" ht="15" hidden="false" customHeight="false" outlineLevel="0" collapsed="false">
      <c r="A74" s="34" t="n">
        <v>70</v>
      </c>
      <c r="B74" s="3"/>
      <c r="C74" s="3"/>
      <c r="D74" s="36"/>
      <c r="E74" s="36"/>
      <c r="F74" s="37"/>
      <c r="G74" s="37"/>
      <c r="H74" s="35"/>
      <c r="I74" s="36"/>
      <c r="J74" s="36"/>
      <c r="K74" s="3"/>
      <c r="L74" s="38" t="str">
        <f aca="false">IF(AND($D74&lt;&gt;"",$F74&lt;&gt;"",$H74&lt;&gt;"",$I74&lt;&gt;""),($F74+N($G74))*設定!$C$4,"")</f>
        <v/>
      </c>
      <c r="M74" s="38" t="str">
        <f aca="false">IF($L74="","",(($F74+N($G74))*(設定!$C$6+設定!$C$7+設定!$C$9)+設定!$C$8)*設定!$C$4)</f>
        <v/>
      </c>
      <c r="N74" s="38" t="str">
        <f aca="false">IF($L74="","",($L74-$M74)*設定!$C$10)</f>
        <v/>
      </c>
      <c r="O74" s="38" t="str">
        <f aca="false">IF($L74="","",IF($I74&gt;MAX(送料表!$B$5:$B$18),"範囲外",INDEX(送料表!$C$5:$F$18,MATCH($I74,送料表!$A$5:$A$18,1),MATCH($H74,送料表!$C$4:$F$4,0))))</f>
        <v/>
      </c>
      <c r="P74" s="38" t="str">
        <f aca="false">IF($L74="","",$F74*設定!$C$4*$X74+$Y74)</f>
        <v/>
      </c>
      <c r="Q74" s="38" t="str">
        <f aca="false">IF($L74="","",設定!$C$11)</f>
        <v/>
      </c>
      <c r="R74" s="38" t="str">
        <f aca="false">IF(OR($L74="",NOT(ISNUMBER($O74))),"",N($D74)+N($E74)+$M74+$N74+$O74+$P74+$Q74)</f>
        <v/>
      </c>
      <c r="S74" s="39" t="str">
        <f aca="false">IF($R74="","",$L74-$R74)</f>
        <v/>
      </c>
      <c r="T74" s="40" t="str">
        <f aca="false">IF(OR($S74="",N($L74)=0),"",$S74/$L74)</f>
        <v/>
      </c>
      <c r="U74" s="41" t="str">
        <f aca="false">IF(OR($L74="",NOT(ISNUMBER($O74))),"",IF(設定!$C$16-$X74&lt;=0,"設定を確認",MAX((設定!$C$8*設定!$C$4*(1-設定!$C$10)+$Y74+N($D74)+N($E74)+$O74+$Q74-N($G74)*設定!$C$4*設定!$C$16)/(設定!$C$4*(設定!$C$16-$X74)),(設定!$C$8*設定!$C$4*(1-設定!$C$10)+$Y74+N($D74)+N($E74)+$O74+$Q74+設定!$C$13-N($G74)*設定!$C$4*設定!$C$15)/(設定!$C$4*(設定!$C$15-$X74)))))</f>
        <v/>
      </c>
      <c r="V74" s="42" t="str">
        <f aca="false">IF($L74="","",IF(NOT(ISNUMBER($O74)),"要確認：重量が送料表の範囲外",IF(AND($T74&gt;=設定!$C$12,$S74&gt;=設定!$C$13,N($J74)&gt;=設定!$C$14),"◎ 出品候補",IF(AND($T74&gt;=設定!$C$12,$S74&gt;=設定!$C$13),"△ 利益OK・販売実績が不足","× 見送り"))))</f>
        <v/>
      </c>
      <c r="W74" s="3"/>
      <c r="X74" s="43" t="str">
        <f aca="false">IF($H74="","",INDEX(設定!$C$20:$C$23,MATCH($H74,設定!$A$20:$A$23,0)))</f>
        <v/>
      </c>
      <c r="Y74" s="44" t="str">
        <f aca="false">IF($H74="","",INDEX(設定!$D$20:$D$23,MATCH($H74,設定!$A$20:$A$23,0))+INDEX(設定!$E$20:$E$23,MATCH($H74,設定!$A$20:$A$23,0)))</f>
        <v/>
      </c>
    </row>
    <row r="75" customFormat="false" ht="15" hidden="false" customHeight="false" outlineLevel="0" collapsed="false">
      <c r="A75" s="34" t="n">
        <v>71</v>
      </c>
      <c r="B75" s="3"/>
      <c r="C75" s="3"/>
      <c r="D75" s="36"/>
      <c r="E75" s="36"/>
      <c r="F75" s="37"/>
      <c r="G75" s="37"/>
      <c r="H75" s="35"/>
      <c r="I75" s="36"/>
      <c r="J75" s="36"/>
      <c r="K75" s="3"/>
      <c r="L75" s="38" t="str">
        <f aca="false">IF(AND($D75&lt;&gt;"",$F75&lt;&gt;"",$H75&lt;&gt;"",$I75&lt;&gt;""),($F75+N($G75))*設定!$C$4,"")</f>
        <v/>
      </c>
      <c r="M75" s="38" t="str">
        <f aca="false">IF($L75="","",(($F75+N($G75))*(設定!$C$6+設定!$C$7+設定!$C$9)+設定!$C$8)*設定!$C$4)</f>
        <v/>
      </c>
      <c r="N75" s="38" t="str">
        <f aca="false">IF($L75="","",($L75-$M75)*設定!$C$10)</f>
        <v/>
      </c>
      <c r="O75" s="38" t="str">
        <f aca="false">IF($L75="","",IF($I75&gt;MAX(送料表!$B$5:$B$18),"範囲外",INDEX(送料表!$C$5:$F$18,MATCH($I75,送料表!$A$5:$A$18,1),MATCH($H75,送料表!$C$4:$F$4,0))))</f>
        <v/>
      </c>
      <c r="P75" s="38" t="str">
        <f aca="false">IF($L75="","",$F75*設定!$C$4*$X75+$Y75)</f>
        <v/>
      </c>
      <c r="Q75" s="38" t="str">
        <f aca="false">IF($L75="","",設定!$C$11)</f>
        <v/>
      </c>
      <c r="R75" s="38" t="str">
        <f aca="false">IF(OR($L75="",NOT(ISNUMBER($O75))),"",N($D75)+N($E75)+$M75+$N75+$O75+$P75+$Q75)</f>
        <v/>
      </c>
      <c r="S75" s="39" t="str">
        <f aca="false">IF($R75="","",$L75-$R75)</f>
        <v/>
      </c>
      <c r="T75" s="40" t="str">
        <f aca="false">IF(OR($S75="",N($L75)=0),"",$S75/$L75)</f>
        <v/>
      </c>
      <c r="U75" s="41" t="str">
        <f aca="false">IF(OR($L75="",NOT(ISNUMBER($O75))),"",IF(設定!$C$16-$X75&lt;=0,"設定を確認",MAX((設定!$C$8*設定!$C$4*(1-設定!$C$10)+$Y75+N($D75)+N($E75)+$O75+$Q75-N($G75)*設定!$C$4*設定!$C$16)/(設定!$C$4*(設定!$C$16-$X75)),(設定!$C$8*設定!$C$4*(1-設定!$C$10)+$Y75+N($D75)+N($E75)+$O75+$Q75+設定!$C$13-N($G75)*設定!$C$4*設定!$C$15)/(設定!$C$4*(設定!$C$15-$X75)))))</f>
        <v/>
      </c>
      <c r="V75" s="42" t="str">
        <f aca="false">IF($L75="","",IF(NOT(ISNUMBER($O75)),"要確認：重量が送料表の範囲外",IF(AND($T75&gt;=設定!$C$12,$S75&gt;=設定!$C$13,N($J75)&gt;=設定!$C$14),"◎ 出品候補",IF(AND($T75&gt;=設定!$C$12,$S75&gt;=設定!$C$13),"△ 利益OK・販売実績が不足","× 見送り"))))</f>
        <v/>
      </c>
      <c r="W75" s="3"/>
      <c r="X75" s="43" t="str">
        <f aca="false">IF($H75="","",INDEX(設定!$C$20:$C$23,MATCH($H75,設定!$A$20:$A$23,0)))</f>
        <v/>
      </c>
      <c r="Y75" s="44" t="str">
        <f aca="false">IF($H75="","",INDEX(設定!$D$20:$D$23,MATCH($H75,設定!$A$20:$A$23,0))+INDEX(設定!$E$20:$E$23,MATCH($H75,設定!$A$20:$A$23,0)))</f>
        <v/>
      </c>
    </row>
    <row r="76" customFormat="false" ht="15" hidden="false" customHeight="false" outlineLevel="0" collapsed="false">
      <c r="A76" s="34" t="n">
        <v>72</v>
      </c>
      <c r="B76" s="3"/>
      <c r="C76" s="3"/>
      <c r="D76" s="36"/>
      <c r="E76" s="36"/>
      <c r="F76" s="37"/>
      <c r="G76" s="37"/>
      <c r="H76" s="35"/>
      <c r="I76" s="36"/>
      <c r="J76" s="36"/>
      <c r="K76" s="3"/>
      <c r="L76" s="38" t="str">
        <f aca="false">IF(AND($D76&lt;&gt;"",$F76&lt;&gt;"",$H76&lt;&gt;"",$I76&lt;&gt;""),($F76+N($G76))*設定!$C$4,"")</f>
        <v/>
      </c>
      <c r="M76" s="38" t="str">
        <f aca="false">IF($L76="","",(($F76+N($G76))*(設定!$C$6+設定!$C$7+設定!$C$9)+設定!$C$8)*設定!$C$4)</f>
        <v/>
      </c>
      <c r="N76" s="38" t="str">
        <f aca="false">IF($L76="","",($L76-$M76)*設定!$C$10)</f>
        <v/>
      </c>
      <c r="O76" s="38" t="str">
        <f aca="false">IF($L76="","",IF($I76&gt;MAX(送料表!$B$5:$B$18),"範囲外",INDEX(送料表!$C$5:$F$18,MATCH($I76,送料表!$A$5:$A$18,1),MATCH($H76,送料表!$C$4:$F$4,0))))</f>
        <v/>
      </c>
      <c r="P76" s="38" t="str">
        <f aca="false">IF($L76="","",$F76*設定!$C$4*$X76+$Y76)</f>
        <v/>
      </c>
      <c r="Q76" s="38" t="str">
        <f aca="false">IF($L76="","",設定!$C$11)</f>
        <v/>
      </c>
      <c r="R76" s="38" t="str">
        <f aca="false">IF(OR($L76="",NOT(ISNUMBER($O76))),"",N($D76)+N($E76)+$M76+$N76+$O76+$P76+$Q76)</f>
        <v/>
      </c>
      <c r="S76" s="39" t="str">
        <f aca="false">IF($R76="","",$L76-$R76)</f>
        <v/>
      </c>
      <c r="T76" s="40" t="str">
        <f aca="false">IF(OR($S76="",N($L76)=0),"",$S76/$L76)</f>
        <v/>
      </c>
      <c r="U76" s="41" t="str">
        <f aca="false">IF(OR($L76="",NOT(ISNUMBER($O76))),"",IF(設定!$C$16-$X76&lt;=0,"設定を確認",MAX((設定!$C$8*設定!$C$4*(1-設定!$C$10)+$Y76+N($D76)+N($E76)+$O76+$Q76-N($G76)*設定!$C$4*設定!$C$16)/(設定!$C$4*(設定!$C$16-$X76)),(設定!$C$8*設定!$C$4*(1-設定!$C$10)+$Y76+N($D76)+N($E76)+$O76+$Q76+設定!$C$13-N($G76)*設定!$C$4*設定!$C$15)/(設定!$C$4*(設定!$C$15-$X76)))))</f>
        <v/>
      </c>
      <c r="V76" s="42" t="str">
        <f aca="false">IF($L76="","",IF(NOT(ISNUMBER($O76)),"要確認：重量が送料表の範囲外",IF(AND($T76&gt;=設定!$C$12,$S76&gt;=設定!$C$13,N($J76)&gt;=設定!$C$14),"◎ 出品候補",IF(AND($T76&gt;=設定!$C$12,$S76&gt;=設定!$C$13),"△ 利益OK・販売実績が不足","× 見送り"))))</f>
        <v/>
      </c>
      <c r="W76" s="3"/>
      <c r="X76" s="43" t="str">
        <f aca="false">IF($H76="","",INDEX(設定!$C$20:$C$23,MATCH($H76,設定!$A$20:$A$23,0)))</f>
        <v/>
      </c>
      <c r="Y76" s="44" t="str">
        <f aca="false">IF($H76="","",INDEX(設定!$D$20:$D$23,MATCH($H76,設定!$A$20:$A$23,0))+INDEX(設定!$E$20:$E$23,MATCH($H76,設定!$A$20:$A$23,0)))</f>
        <v/>
      </c>
    </row>
    <row r="77" customFormat="false" ht="15" hidden="false" customHeight="false" outlineLevel="0" collapsed="false">
      <c r="A77" s="34" t="n">
        <v>73</v>
      </c>
      <c r="B77" s="3"/>
      <c r="C77" s="3"/>
      <c r="D77" s="36"/>
      <c r="E77" s="36"/>
      <c r="F77" s="37"/>
      <c r="G77" s="37"/>
      <c r="H77" s="35"/>
      <c r="I77" s="36"/>
      <c r="J77" s="36"/>
      <c r="K77" s="3"/>
      <c r="L77" s="38" t="str">
        <f aca="false">IF(AND($D77&lt;&gt;"",$F77&lt;&gt;"",$H77&lt;&gt;"",$I77&lt;&gt;""),($F77+N($G77))*設定!$C$4,"")</f>
        <v/>
      </c>
      <c r="M77" s="38" t="str">
        <f aca="false">IF($L77="","",(($F77+N($G77))*(設定!$C$6+設定!$C$7+設定!$C$9)+設定!$C$8)*設定!$C$4)</f>
        <v/>
      </c>
      <c r="N77" s="38" t="str">
        <f aca="false">IF($L77="","",($L77-$M77)*設定!$C$10)</f>
        <v/>
      </c>
      <c r="O77" s="38" t="str">
        <f aca="false">IF($L77="","",IF($I77&gt;MAX(送料表!$B$5:$B$18),"範囲外",INDEX(送料表!$C$5:$F$18,MATCH($I77,送料表!$A$5:$A$18,1),MATCH($H77,送料表!$C$4:$F$4,0))))</f>
        <v/>
      </c>
      <c r="P77" s="38" t="str">
        <f aca="false">IF($L77="","",$F77*設定!$C$4*$X77+$Y77)</f>
        <v/>
      </c>
      <c r="Q77" s="38" t="str">
        <f aca="false">IF($L77="","",設定!$C$11)</f>
        <v/>
      </c>
      <c r="R77" s="38" t="str">
        <f aca="false">IF(OR($L77="",NOT(ISNUMBER($O77))),"",N($D77)+N($E77)+$M77+$N77+$O77+$P77+$Q77)</f>
        <v/>
      </c>
      <c r="S77" s="39" t="str">
        <f aca="false">IF($R77="","",$L77-$R77)</f>
        <v/>
      </c>
      <c r="T77" s="40" t="str">
        <f aca="false">IF(OR($S77="",N($L77)=0),"",$S77/$L77)</f>
        <v/>
      </c>
      <c r="U77" s="41" t="str">
        <f aca="false">IF(OR($L77="",NOT(ISNUMBER($O77))),"",IF(設定!$C$16-$X77&lt;=0,"設定を確認",MAX((設定!$C$8*設定!$C$4*(1-設定!$C$10)+$Y77+N($D77)+N($E77)+$O77+$Q77-N($G77)*設定!$C$4*設定!$C$16)/(設定!$C$4*(設定!$C$16-$X77)),(設定!$C$8*設定!$C$4*(1-設定!$C$10)+$Y77+N($D77)+N($E77)+$O77+$Q77+設定!$C$13-N($G77)*設定!$C$4*設定!$C$15)/(設定!$C$4*(設定!$C$15-$X77)))))</f>
        <v/>
      </c>
      <c r="V77" s="42" t="str">
        <f aca="false">IF($L77="","",IF(NOT(ISNUMBER($O77)),"要確認：重量が送料表の範囲外",IF(AND($T77&gt;=設定!$C$12,$S77&gt;=設定!$C$13,N($J77)&gt;=設定!$C$14),"◎ 出品候補",IF(AND($T77&gt;=設定!$C$12,$S77&gt;=設定!$C$13),"△ 利益OK・販売実績が不足","× 見送り"))))</f>
        <v/>
      </c>
      <c r="W77" s="3"/>
      <c r="X77" s="43" t="str">
        <f aca="false">IF($H77="","",INDEX(設定!$C$20:$C$23,MATCH($H77,設定!$A$20:$A$23,0)))</f>
        <v/>
      </c>
      <c r="Y77" s="44" t="str">
        <f aca="false">IF($H77="","",INDEX(設定!$D$20:$D$23,MATCH($H77,設定!$A$20:$A$23,0))+INDEX(設定!$E$20:$E$23,MATCH($H77,設定!$A$20:$A$23,0)))</f>
        <v/>
      </c>
    </row>
    <row r="78" customFormat="false" ht="15" hidden="false" customHeight="false" outlineLevel="0" collapsed="false">
      <c r="A78" s="34" t="n">
        <v>74</v>
      </c>
      <c r="B78" s="3"/>
      <c r="C78" s="3"/>
      <c r="D78" s="36"/>
      <c r="E78" s="36"/>
      <c r="F78" s="37"/>
      <c r="G78" s="37"/>
      <c r="H78" s="35"/>
      <c r="I78" s="36"/>
      <c r="J78" s="36"/>
      <c r="K78" s="3"/>
      <c r="L78" s="38" t="str">
        <f aca="false">IF(AND($D78&lt;&gt;"",$F78&lt;&gt;"",$H78&lt;&gt;"",$I78&lt;&gt;""),($F78+N($G78))*設定!$C$4,"")</f>
        <v/>
      </c>
      <c r="M78" s="38" t="str">
        <f aca="false">IF($L78="","",(($F78+N($G78))*(設定!$C$6+設定!$C$7+設定!$C$9)+設定!$C$8)*設定!$C$4)</f>
        <v/>
      </c>
      <c r="N78" s="38" t="str">
        <f aca="false">IF($L78="","",($L78-$M78)*設定!$C$10)</f>
        <v/>
      </c>
      <c r="O78" s="38" t="str">
        <f aca="false">IF($L78="","",IF($I78&gt;MAX(送料表!$B$5:$B$18),"範囲外",INDEX(送料表!$C$5:$F$18,MATCH($I78,送料表!$A$5:$A$18,1),MATCH($H78,送料表!$C$4:$F$4,0))))</f>
        <v/>
      </c>
      <c r="P78" s="38" t="str">
        <f aca="false">IF($L78="","",$F78*設定!$C$4*$X78+$Y78)</f>
        <v/>
      </c>
      <c r="Q78" s="38" t="str">
        <f aca="false">IF($L78="","",設定!$C$11)</f>
        <v/>
      </c>
      <c r="R78" s="38" t="str">
        <f aca="false">IF(OR($L78="",NOT(ISNUMBER($O78))),"",N($D78)+N($E78)+$M78+$N78+$O78+$P78+$Q78)</f>
        <v/>
      </c>
      <c r="S78" s="39" t="str">
        <f aca="false">IF($R78="","",$L78-$R78)</f>
        <v/>
      </c>
      <c r="T78" s="40" t="str">
        <f aca="false">IF(OR($S78="",N($L78)=0),"",$S78/$L78)</f>
        <v/>
      </c>
      <c r="U78" s="41" t="str">
        <f aca="false">IF(OR($L78="",NOT(ISNUMBER($O78))),"",IF(設定!$C$16-$X78&lt;=0,"設定を確認",MAX((設定!$C$8*設定!$C$4*(1-設定!$C$10)+$Y78+N($D78)+N($E78)+$O78+$Q78-N($G78)*設定!$C$4*設定!$C$16)/(設定!$C$4*(設定!$C$16-$X78)),(設定!$C$8*設定!$C$4*(1-設定!$C$10)+$Y78+N($D78)+N($E78)+$O78+$Q78+設定!$C$13-N($G78)*設定!$C$4*設定!$C$15)/(設定!$C$4*(設定!$C$15-$X78)))))</f>
        <v/>
      </c>
      <c r="V78" s="42" t="str">
        <f aca="false">IF($L78="","",IF(NOT(ISNUMBER($O78)),"要確認：重量が送料表の範囲外",IF(AND($T78&gt;=設定!$C$12,$S78&gt;=設定!$C$13,N($J78)&gt;=設定!$C$14),"◎ 出品候補",IF(AND($T78&gt;=設定!$C$12,$S78&gt;=設定!$C$13),"△ 利益OK・販売実績が不足","× 見送り"))))</f>
        <v/>
      </c>
      <c r="W78" s="3"/>
      <c r="X78" s="43" t="str">
        <f aca="false">IF($H78="","",INDEX(設定!$C$20:$C$23,MATCH($H78,設定!$A$20:$A$23,0)))</f>
        <v/>
      </c>
      <c r="Y78" s="44" t="str">
        <f aca="false">IF($H78="","",INDEX(設定!$D$20:$D$23,MATCH($H78,設定!$A$20:$A$23,0))+INDEX(設定!$E$20:$E$23,MATCH($H78,設定!$A$20:$A$23,0)))</f>
        <v/>
      </c>
    </row>
    <row r="79" customFormat="false" ht="15" hidden="false" customHeight="false" outlineLevel="0" collapsed="false">
      <c r="A79" s="34" t="n">
        <v>75</v>
      </c>
      <c r="B79" s="3"/>
      <c r="C79" s="3"/>
      <c r="D79" s="36"/>
      <c r="E79" s="36"/>
      <c r="F79" s="37"/>
      <c r="G79" s="37"/>
      <c r="H79" s="35"/>
      <c r="I79" s="36"/>
      <c r="J79" s="36"/>
      <c r="K79" s="3"/>
      <c r="L79" s="38" t="str">
        <f aca="false">IF(AND($D79&lt;&gt;"",$F79&lt;&gt;"",$H79&lt;&gt;"",$I79&lt;&gt;""),($F79+N($G79))*設定!$C$4,"")</f>
        <v/>
      </c>
      <c r="M79" s="38" t="str">
        <f aca="false">IF($L79="","",(($F79+N($G79))*(設定!$C$6+設定!$C$7+設定!$C$9)+設定!$C$8)*設定!$C$4)</f>
        <v/>
      </c>
      <c r="N79" s="38" t="str">
        <f aca="false">IF($L79="","",($L79-$M79)*設定!$C$10)</f>
        <v/>
      </c>
      <c r="O79" s="38" t="str">
        <f aca="false">IF($L79="","",IF($I79&gt;MAX(送料表!$B$5:$B$18),"範囲外",INDEX(送料表!$C$5:$F$18,MATCH($I79,送料表!$A$5:$A$18,1),MATCH($H79,送料表!$C$4:$F$4,0))))</f>
        <v/>
      </c>
      <c r="P79" s="38" t="str">
        <f aca="false">IF($L79="","",$F79*設定!$C$4*$X79+$Y79)</f>
        <v/>
      </c>
      <c r="Q79" s="38" t="str">
        <f aca="false">IF($L79="","",設定!$C$11)</f>
        <v/>
      </c>
      <c r="R79" s="38" t="str">
        <f aca="false">IF(OR($L79="",NOT(ISNUMBER($O79))),"",N($D79)+N($E79)+$M79+$N79+$O79+$P79+$Q79)</f>
        <v/>
      </c>
      <c r="S79" s="39" t="str">
        <f aca="false">IF($R79="","",$L79-$R79)</f>
        <v/>
      </c>
      <c r="T79" s="40" t="str">
        <f aca="false">IF(OR($S79="",N($L79)=0),"",$S79/$L79)</f>
        <v/>
      </c>
      <c r="U79" s="41" t="str">
        <f aca="false">IF(OR($L79="",NOT(ISNUMBER($O79))),"",IF(設定!$C$16-$X79&lt;=0,"設定を確認",MAX((設定!$C$8*設定!$C$4*(1-設定!$C$10)+$Y79+N($D79)+N($E79)+$O79+$Q79-N($G79)*設定!$C$4*設定!$C$16)/(設定!$C$4*(設定!$C$16-$X79)),(設定!$C$8*設定!$C$4*(1-設定!$C$10)+$Y79+N($D79)+N($E79)+$O79+$Q79+設定!$C$13-N($G79)*設定!$C$4*設定!$C$15)/(設定!$C$4*(設定!$C$15-$X79)))))</f>
        <v/>
      </c>
      <c r="V79" s="42" t="str">
        <f aca="false">IF($L79="","",IF(NOT(ISNUMBER($O79)),"要確認：重量が送料表の範囲外",IF(AND($T79&gt;=設定!$C$12,$S79&gt;=設定!$C$13,N($J79)&gt;=設定!$C$14),"◎ 出品候補",IF(AND($T79&gt;=設定!$C$12,$S79&gt;=設定!$C$13),"△ 利益OK・販売実績が不足","× 見送り"))))</f>
        <v/>
      </c>
      <c r="W79" s="3"/>
      <c r="X79" s="43" t="str">
        <f aca="false">IF($H79="","",INDEX(設定!$C$20:$C$23,MATCH($H79,設定!$A$20:$A$23,0)))</f>
        <v/>
      </c>
      <c r="Y79" s="44" t="str">
        <f aca="false">IF($H79="","",INDEX(設定!$D$20:$D$23,MATCH($H79,設定!$A$20:$A$23,0))+INDEX(設定!$E$20:$E$23,MATCH($H79,設定!$A$20:$A$23,0)))</f>
        <v/>
      </c>
    </row>
    <row r="80" customFormat="false" ht="15" hidden="false" customHeight="false" outlineLevel="0" collapsed="false">
      <c r="A80" s="34" t="n">
        <v>76</v>
      </c>
      <c r="B80" s="3"/>
      <c r="C80" s="3"/>
      <c r="D80" s="36"/>
      <c r="E80" s="36"/>
      <c r="F80" s="37"/>
      <c r="G80" s="37"/>
      <c r="H80" s="35"/>
      <c r="I80" s="36"/>
      <c r="J80" s="36"/>
      <c r="K80" s="3"/>
      <c r="L80" s="38" t="str">
        <f aca="false">IF(AND($D80&lt;&gt;"",$F80&lt;&gt;"",$H80&lt;&gt;"",$I80&lt;&gt;""),($F80+N($G80))*設定!$C$4,"")</f>
        <v/>
      </c>
      <c r="M80" s="38" t="str">
        <f aca="false">IF($L80="","",(($F80+N($G80))*(設定!$C$6+設定!$C$7+設定!$C$9)+設定!$C$8)*設定!$C$4)</f>
        <v/>
      </c>
      <c r="N80" s="38" t="str">
        <f aca="false">IF($L80="","",($L80-$M80)*設定!$C$10)</f>
        <v/>
      </c>
      <c r="O80" s="38" t="str">
        <f aca="false">IF($L80="","",IF($I80&gt;MAX(送料表!$B$5:$B$18),"範囲外",INDEX(送料表!$C$5:$F$18,MATCH($I80,送料表!$A$5:$A$18,1),MATCH($H80,送料表!$C$4:$F$4,0))))</f>
        <v/>
      </c>
      <c r="P80" s="38" t="str">
        <f aca="false">IF($L80="","",$F80*設定!$C$4*$X80+$Y80)</f>
        <v/>
      </c>
      <c r="Q80" s="38" t="str">
        <f aca="false">IF($L80="","",設定!$C$11)</f>
        <v/>
      </c>
      <c r="R80" s="38" t="str">
        <f aca="false">IF(OR($L80="",NOT(ISNUMBER($O80))),"",N($D80)+N($E80)+$M80+$N80+$O80+$P80+$Q80)</f>
        <v/>
      </c>
      <c r="S80" s="39" t="str">
        <f aca="false">IF($R80="","",$L80-$R80)</f>
        <v/>
      </c>
      <c r="T80" s="40" t="str">
        <f aca="false">IF(OR($S80="",N($L80)=0),"",$S80/$L80)</f>
        <v/>
      </c>
      <c r="U80" s="41" t="str">
        <f aca="false">IF(OR($L80="",NOT(ISNUMBER($O80))),"",IF(設定!$C$16-$X80&lt;=0,"設定を確認",MAX((設定!$C$8*設定!$C$4*(1-設定!$C$10)+$Y80+N($D80)+N($E80)+$O80+$Q80-N($G80)*設定!$C$4*設定!$C$16)/(設定!$C$4*(設定!$C$16-$X80)),(設定!$C$8*設定!$C$4*(1-設定!$C$10)+$Y80+N($D80)+N($E80)+$O80+$Q80+設定!$C$13-N($G80)*設定!$C$4*設定!$C$15)/(設定!$C$4*(設定!$C$15-$X80)))))</f>
        <v/>
      </c>
      <c r="V80" s="42" t="str">
        <f aca="false">IF($L80="","",IF(NOT(ISNUMBER($O80)),"要確認：重量が送料表の範囲外",IF(AND($T80&gt;=設定!$C$12,$S80&gt;=設定!$C$13,N($J80)&gt;=設定!$C$14),"◎ 出品候補",IF(AND($T80&gt;=設定!$C$12,$S80&gt;=設定!$C$13),"△ 利益OK・販売実績が不足","× 見送り"))))</f>
        <v/>
      </c>
      <c r="W80" s="3"/>
      <c r="X80" s="43" t="str">
        <f aca="false">IF($H80="","",INDEX(設定!$C$20:$C$23,MATCH($H80,設定!$A$20:$A$23,0)))</f>
        <v/>
      </c>
      <c r="Y80" s="44" t="str">
        <f aca="false">IF($H80="","",INDEX(設定!$D$20:$D$23,MATCH($H80,設定!$A$20:$A$23,0))+INDEX(設定!$E$20:$E$23,MATCH($H80,設定!$A$20:$A$23,0)))</f>
        <v/>
      </c>
    </row>
    <row r="81" customFormat="false" ht="15" hidden="false" customHeight="false" outlineLevel="0" collapsed="false">
      <c r="A81" s="34" t="n">
        <v>77</v>
      </c>
      <c r="B81" s="3"/>
      <c r="C81" s="3"/>
      <c r="D81" s="36"/>
      <c r="E81" s="36"/>
      <c r="F81" s="37"/>
      <c r="G81" s="37"/>
      <c r="H81" s="35"/>
      <c r="I81" s="36"/>
      <c r="J81" s="36"/>
      <c r="K81" s="3"/>
      <c r="L81" s="38" t="str">
        <f aca="false">IF(AND($D81&lt;&gt;"",$F81&lt;&gt;"",$H81&lt;&gt;"",$I81&lt;&gt;""),($F81+N($G81))*設定!$C$4,"")</f>
        <v/>
      </c>
      <c r="M81" s="38" t="str">
        <f aca="false">IF($L81="","",(($F81+N($G81))*(設定!$C$6+設定!$C$7+設定!$C$9)+設定!$C$8)*設定!$C$4)</f>
        <v/>
      </c>
      <c r="N81" s="38" t="str">
        <f aca="false">IF($L81="","",($L81-$M81)*設定!$C$10)</f>
        <v/>
      </c>
      <c r="O81" s="38" t="str">
        <f aca="false">IF($L81="","",IF($I81&gt;MAX(送料表!$B$5:$B$18),"範囲外",INDEX(送料表!$C$5:$F$18,MATCH($I81,送料表!$A$5:$A$18,1),MATCH($H81,送料表!$C$4:$F$4,0))))</f>
        <v/>
      </c>
      <c r="P81" s="38" t="str">
        <f aca="false">IF($L81="","",$F81*設定!$C$4*$X81+$Y81)</f>
        <v/>
      </c>
      <c r="Q81" s="38" t="str">
        <f aca="false">IF($L81="","",設定!$C$11)</f>
        <v/>
      </c>
      <c r="R81" s="38" t="str">
        <f aca="false">IF(OR($L81="",NOT(ISNUMBER($O81))),"",N($D81)+N($E81)+$M81+$N81+$O81+$P81+$Q81)</f>
        <v/>
      </c>
      <c r="S81" s="39" t="str">
        <f aca="false">IF($R81="","",$L81-$R81)</f>
        <v/>
      </c>
      <c r="T81" s="40" t="str">
        <f aca="false">IF(OR($S81="",N($L81)=0),"",$S81/$L81)</f>
        <v/>
      </c>
      <c r="U81" s="41" t="str">
        <f aca="false">IF(OR($L81="",NOT(ISNUMBER($O81))),"",IF(設定!$C$16-$X81&lt;=0,"設定を確認",MAX((設定!$C$8*設定!$C$4*(1-設定!$C$10)+$Y81+N($D81)+N($E81)+$O81+$Q81-N($G81)*設定!$C$4*設定!$C$16)/(設定!$C$4*(設定!$C$16-$X81)),(設定!$C$8*設定!$C$4*(1-設定!$C$10)+$Y81+N($D81)+N($E81)+$O81+$Q81+設定!$C$13-N($G81)*設定!$C$4*設定!$C$15)/(設定!$C$4*(設定!$C$15-$X81)))))</f>
        <v/>
      </c>
      <c r="V81" s="42" t="str">
        <f aca="false">IF($L81="","",IF(NOT(ISNUMBER($O81)),"要確認：重量が送料表の範囲外",IF(AND($T81&gt;=設定!$C$12,$S81&gt;=設定!$C$13,N($J81)&gt;=設定!$C$14),"◎ 出品候補",IF(AND($T81&gt;=設定!$C$12,$S81&gt;=設定!$C$13),"△ 利益OK・販売実績が不足","× 見送り"))))</f>
        <v/>
      </c>
      <c r="W81" s="3"/>
      <c r="X81" s="43" t="str">
        <f aca="false">IF($H81="","",INDEX(設定!$C$20:$C$23,MATCH($H81,設定!$A$20:$A$23,0)))</f>
        <v/>
      </c>
      <c r="Y81" s="44" t="str">
        <f aca="false">IF($H81="","",INDEX(設定!$D$20:$D$23,MATCH($H81,設定!$A$20:$A$23,0))+INDEX(設定!$E$20:$E$23,MATCH($H81,設定!$A$20:$A$23,0)))</f>
        <v/>
      </c>
    </row>
    <row r="82" customFormat="false" ht="15" hidden="false" customHeight="false" outlineLevel="0" collapsed="false">
      <c r="A82" s="34" t="n">
        <v>78</v>
      </c>
      <c r="B82" s="3"/>
      <c r="C82" s="3"/>
      <c r="D82" s="36"/>
      <c r="E82" s="36"/>
      <c r="F82" s="37"/>
      <c r="G82" s="37"/>
      <c r="H82" s="35"/>
      <c r="I82" s="36"/>
      <c r="J82" s="36"/>
      <c r="K82" s="3"/>
      <c r="L82" s="38" t="str">
        <f aca="false">IF(AND($D82&lt;&gt;"",$F82&lt;&gt;"",$H82&lt;&gt;"",$I82&lt;&gt;""),($F82+N($G82))*設定!$C$4,"")</f>
        <v/>
      </c>
      <c r="M82" s="38" t="str">
        <f aca="false">IF($L82="","",(($F82+N($G82))*(設定!$C$6+設定!$C$7+設定!$C$9)+設定!$C$8)*設定!$C$4)</f>
        <v/>
      </c>
      <c r="N82" s="38" t="str">
        <f aca="false">IF($L82="","",($L82-$M82)*設定!$C$10)</f>
        <v/>
      </c>
      <c r="O82" s="38" t="str">
        <f aca="false">IF($L82="","",IF($I82&gt;MAX(送料表!$B$5:$B$18),"範囲外",INDEX(送料表!$C$5:$F$18,MATCH($I82,送料表!$A$5:$A$18,1),MATCH($H82,送料表!$C$4:$F$4,0))))</f>
        <v/>
      </c>
      <c r="P82" s="38" t="str">
        <f aca="false">IF($L82="","",$F82*設定!$C$4*$X82+$Y82)</f>
        <v/>
      </c>
      <c r="Q82" s="38" t="str">
        <f aca="false">IF($L82="","",設定!$C$11)</f>
        <v/>
      </c>
      <c r="R82" s="38" t="str">
        <f aca="false">IF(OR($L82="",NOT(ISNUMBER($O82))),"",N($D82)+N($E82)+$M82+$N82+$O82+$P82+$Q82)</f>
        <v/>
      </c>
      <c r="S82" s="39" t="str">
        <f aca="false">IF($R82="","",$L82-$R82)</f>
        <v/>
      </c>
      <c r="T82" s="40" t="str">
        <f aca="false">IF(OR($S82="",N($L82)=0),"",$S82/$L82)</f>
        <v/>
      </c>
      <c r="U82" s="41" t="str">
        <f aca="false">IF(OR($L82="",NOT(ISNUMBER($O82))),"",IF(設定!$C$16-$X82&lt;=0,"設定を確認",MAX((設定!$C$8*設定!$C$4*(1-設定!$C$10)+$Y82+N($D82)+N($E82)+$O82+$Q82-N($G82)*設定!$C$4*設定!$C$16)/(設定!$C$4*(設定!$C$16-$X82)),(設定!$C$8*設定!$C$4*(1-設定!$C$10)+$Y82+N($D82)+N($E82)+$O82+$Q82+設定!$C$13-N($G82)*設定!$C$4*設定!$C$15)/(設定!$C$4*(設定!$C$15-$X82)))))</f>
        <v/>
      </c>
      <c r="V82" s="42" t="str">
        <f aca="false">IF($L82="","",IF(NOT(ISNUMBER($O82)),"要確認：重量が送料表の範囲外",IF(AND($T82&gt;=設定!$C$12,$S82&gt;=設定!$C$13,N($J82)&gt;=設定!$C$14),"◎ 出品候補",IF(AND($T82&gt;=設定!$C$12,$S82&gt;=設定!$C$13),"△ 利益OK・販売実績が不足","× 見送り"))))</f>
        <v/>
      </c>
      <c r="W82" s="3"/>
      <c r="X82" s="43" t="str">
        <f aca="false">IF($H82="","",INDEX(設定!$C$20:$C$23,MATCH($H82,設定!$A$20:$A$23,0)))</f>
        <v/>
      </c>
      <c r="Y82" s="44" t="str">
        <f aca="false">IF($H82="","",INDEX(設定!$D$20:$D$23,MATCH($H82,設定!$A$20:$A$23,0))+INDEX(設定!$E$20:$E$23,MATCH($H82,設定!$A$20:$A$23,0)))</f>
        <v/>
      </c>
    </row>
    <row r="83" customFormat="false" ht="15" hidden="false" customHeight="false" outlineLevel="0" collapsed="false">
      <c r="A83" s="34" t="n">
        <v>79</v>
      </c>
      <c r="B83" s="3"/>
      <c r="C83" s="3"/>
      <c r="D83" s="36"/>
      <c r="E83" s="36"/>
      <c r="F83" s="37"/>
      <c r="G83" s="37"/>
      <c r="H83" s="35"/>
      <c r="I83" s="36"/>
      <c r="J83" s="36"/>
      <c r="K83" s="3"/>
      <c r="L83" s="38" t="str">
        <f aca="false">IF(AND($D83&lt;&gt;"",$F83&lt;&gt;"",$H83&lt;&gt;"",$I83&lt;&gt;""),($F83+N($G83))*設定!$C$4,"")</f>
        <v/>
      </c>
      <c r="M83" s="38" t="str">
        <f aca="false">IF($L83="","",(($F83+N($G83))*(設定!$C$6+設定!$C$7+設定!$C$9)+設定!$C$8)*設定!$C$4)</f>
        <v/>
      </c>
      <c r="N83" s="38" t="str">
        <f aca="false">IF($L83="","",($L83-$M83)*設定!$C$10)</f>
        <v/>
      </c>
      <c r="O83" s="38" t="str">
        <f aca="false">IF($L83="","",IF($I83&gt;MAX(送料表!$B$5:$B$18),"範囲外",INDEX(送料表!$C$5:$F$18,MATCH($I83,送料表!$A$5:$A$18,1),MATCH($H83,送料表!$C$4:$F$4,0))))</f>
        <v/>
      </c>
      <c r="P83" s="38" t="str">
        <f aca="false">IF($L83="","",$F83*設定!$C$4*$X83+$Y83)</f>
        <v/>
      </c>
      <c r="Q83" s="38" t="str">
        <f aca="false">IF($L83="","",設定!$C$11)</f>
        <v/>
      </c>
      <c r="R83" s="38" t="str">
        <f aca="false">IF(OR($L83="",NOT(ISNUMBER($O83))),"",N($D83)+N($E83)+$M83+$N83+$O83+$P83+$Q83)</f>
        <v/>
      </c>
      <c r="S83" s="39" t="str">
        <f aca="false">IF($R83="","",$L83-$R83)</f>
        <v/>
      </c>
      <c r="T83" s="40" t="str">
        <f aca="false">IF(OR($S83="",N($L83)=0),"",$S83/$L83)</f>
        <v/>
      </c>
      <c r="U83" s="41" t="str">
        <f aca="false">IF(OR($L83="",NOT(ISNUMBER($O83))),"",IF(設定!$C$16-$X83&lt;=0,"設定を確認",MAX((設定!$C$8*設定!$C$4*(1-設定!$C$10)+$Y83+N($D83)+N($E83)+$O83+$Q83-N($G83)*設定!$C$4*設定!$C$16)/(設定!$C$4*(設定!$C$16-$X83)),(設定!$C$8*設定!$C$4*(1-設定!$C$10)+$Y83+N($D83)+N($E83)+$O83+$Q83+設定!$C$13-N($G83)*設定!$C$4*設定!$C$15)/(設定!$C$4*(設定!$C$15-$X83)))))</f>
        <v/>
      </c>
      <c r="V83" s="42" t="str">
        <f aca="false">IF($L83="","",IF(NOT(ISNUMBER($O83)),"要確認：重量が送料表の範囲外",IF(AND($T83&gt;=設定!$C$12,$S83&gt;=設定!$C$13,N($J83)&gt;=設定!$C$14),"◎ 出品候補",IF(AND($T83&gt;=設定!$C$12,$S83&gt;=設定!$C$13),"△ 利益OK・販売実績が不足","× 見送り"))))</f>
        <v/>
      </c>
      <c r="W83" s="3"/>
      <c r="X83" s="43" t="str">
        <f aca="false">IF($H83="","",INDEX(設定!$C$20:$C$23,MATCH($H83,設定!$A$20:$A$23,0)))</f>
        <v/>
      </c>
      <c r="Y83" s="44" t="str">
        <f aca="false">IF($H83="","",INDEX(設定!$D$20:$D$23,MATCH($H83,設定!$A$20:$A$23,0))+INDEX(設定!$E$20:$E$23,MATCH($H83,設定!$A$20:$A$23,0)))</f>
        <v/>
      </c>
    </row>
    <row r="84" customFormat="false" ht="15" hidden="false" customHeight="false" outlineLevel="0" collapsed="false">
      <c r="A84" s="34" t="n">
        <v>80</v>
      </c>
      <c r="B84" s="3"/>
      <c r="C84" s="3"/>
      <c r="D84" s="36"/>
      <c r="E84" s="36"/>
      <c r="F84" s="37"/>
      <c r="G84" s="37"/>
      <c r="H84" s="35"/>
      <c r="I84" s="36"/>
      <c r="J84" s="36"/>
      <c r="K84" s="3"/>
      <c r="L84" s="38" t="str">
        <f aca="false">IF(AND($D84&lt;&gt;"",$F84&lt;&gt;"",$H84&lt;&gt;"",$I84&lt;&gt;""),($F84+N($G84))*設定!$C$4,"")</f>
        <v/>
      </c>
      <c r="M84" s="38" t="str">
        <f aca="false">IF($L84="","",(($F84+N($G84))*(設定!$C$6+設定!$C$7+設定!$C$9)+設定!$C$8)*設定!$C$4)</f>
        <v/>
      </c>
      <c r="N84" s="38" t="str">
        <f aca="false">IF($L84="","",($L84-$M84)*設定!$C$10)</f>
        <v/>
      </c>
      <c r="O84" s="38" t="str">
        <f aca="false">IF($L84="","",IF($I84&gt;MAX(送料表!$B$5:$B$18),"範囲外",INDEX(送料表!$C$5:$F$18,MATCH($I84,送料表!$A$5:$A$18,1),MATCH($H84,送料表!$C$4:$F$4,0))))</f>
        <v/>
      </c>
      <c r="P84" s="38" t="str">
        <f aca="false">IF($L84="","",$F84*設定!$C$4*$X84+$Y84)</f>
        <v/>
      </c>
      <c r="Q84" s="38" t="str">
        <f aca="false">IF($L84="","",設定!$C$11)</f>
        <v/>
      </c>
      <c r="R84" s="38" t="str">
        <f aca="false">IF(OR($L84="",NOT(ISNUMBER($O84))),"",N($D84)+N($E84)+$M84+$N84+$O84+$P84+$Q84)</f>
        <v/>
      </c>
      <c r="S84" s="39" t="str">
        <f aca="false">IF($R84="","",$L84-$R84)</f>
        <v/>
      </c>
      <c r="T84" s="40" t="str">
        <f aca="false">IF(OR($S84="",N($L84)=0),"",$S84/$L84)</f>
        <v/>
      </c>
      <c r="U84" s="41" t="str">
        <f aca="false">IF(OR($L84="",NOT(ISNUMBER($O84))),"",IF(設定!$C$16-$X84&lt;=0,"設定を確認",MAX((設定!$C$8*設定!$C$4*(1-設定!$C$10)+$Y84+N($D84)+N($E84)+$O84+$Q84-N($G84)*設定!$C$4*設定!$C$16)/(設定!$C$4*(設定!$C$16-$X84)),(設定!$C$8*設定!$C$4*(1-設定!$C$10)+$Y84+N($D84)+N($E84)+$O84+$Q84+設定!$C$13-N($G84)*設定!$C$4*設定!$C$15)/(設定!$C$4*(設定!$C$15-$X84)))))</f>
        <v/>
      </c>
      <c r="V84" s="42" t="str">
        <f aca="false">IF($L84="","",IF(NOT(ISNUMBER($O84)),"要確認：重量が送料表の範囲外",IF(AND($T84&gt;=設定!$C$12,$S84&gt;=設定!$C$13,N($J84)&gt;=設定!$C$14),"◎ 出品候補",IF(AND($T84&gt;=設定!$C$12,$S84&gt;=設定!$C$13),"△ 利益OK・販売実績が不足","× 見送り"))))</f>
        <v/>
      </c>
      <c r="W84" s="3"/>
      <c r="X84" s="43" t="str">
        <f aca="false">IF($H84="","",INDEX(設定!$C$20:$C$23,MATCH($H84,設定!$A$20:$A$23,0)))</f>
        <v/>
      </c>
      <c r="Y84" s="44" t="str">
        <f aca="false">IF($H84="","",INDEX(設定!$D$20:$D$23,MATCH($H84,設定!$A$20:$A$23,0))+INDEX(設定!$E$20:$E$23,MATCH($H84,設定!$A$20:$A$23,0)))</f>
        <v/>
      </c>
    </row>
    <row r="85" customFormat="false" ht="15" hidden="false" customHeight="false" outlineLevel="0" collapsed="false">
      <c r="A85" s="34" t="n">
        <v>81</v>
      </c>
      <c r="B85" s="3"/>
      <c r="C85" s="3"/>
      <c r="D85" s="36"/>
      <c r="E85" s="36"/>
      <c r="F85" s="37"/>
      <c r="G85" s="37"/>
      <c r="H85" s="35"/>
      <c r="I85" s="36"/>
      <c r="J85" s="36"/>
      <c r="K85" s="3"/>
      <c r="L85" s="38" t="str">
        <f aca="false">IF(AND($D85&lt;&gt;"",$F85&lt;&gt;"",$H85&lt;&gt;"",$I85&lt;&gt;""),($F85+N($G85))*設定!$C$4,"")</f>
        <v/>
      </c>
      <c r="M85" s="38" t="str">
        <f aca="false">IF($L85="","",(($F85+N($G85))*(設定!$C$6+設定!$C$7+設定!$C$9)+設定!$C$8)*設定!$C$4)</f>
        <v/>
      </c>
      <c r="N85" s="38" t="str">
        <f aca="false">IF($L85="","",($L85-$M85)*設定!$C$10)</f>
        <v/>
      </c>
      <c r="O85" s="38" t="str">
        <f aca="false">IF($L85="","",IF($I85&gt;MAX(送料表!$B$5:$B$18),"範囲外",INDEX(送料表!$C$5:$F$18,MATCH($I85,送料表!$A$5:$A$18,1),MATCH($H85,送料表!$C$4:$F$4,0))))</f>
        <v/>
      </c>
      <c r="P85" s="38" t="str">
        <f aca="false">IF($L85="","",$F85*設定!$C$4*$X85+$Y85)</f>
        <v/>
      </c>
      <c r="Q85" s="38" t="str">
        <f aca="false">IF($L85="","",設定!$C$11)</f>
        <v/>
      </c>
      <c r="R85" s="38" t="str">
        <f aca="false">IF(OR($L85="",NOT(ISNUMBER($O85))),"",N($D85)+N($E85)+$M85+$N85+$O85+$P85+$Q85)</f>
        <v/>
      </c>
      <c r="S85" s="39" t="str">
        <f aca="false">IF($R85="","",$L85-$R85)</f>
        <v/>
      </c>
      <c r="T85" s="40" t="str">
        <f aca="false">IF(OR($S85="",N($L85)=0),"",$S85/$L85)</f>
        <v/>
      </c>
      <c r="U85" s="41" t="str">
        <f aca="false">IF(OR($L85="",NOT(ISNUMBER($O85))),"",IF(設定!$C$16-$X85&lt;=0,"設定を確認",MAX((設定!$C$8*設定!$C$4*(1-設定!$C$10)+$Y85+N($D85)+N($E85)+$O85+$Q85-N($G85)*設定!$C$4*設定!$C$16)/(設定!$C$4*(設定!$C$16-$X85)),(設定!$C$8*設定!$C$4*(1-設定!$C$10)+$Y85+N($D85)+N($E85)+$O85+$Q85+設定!$C$13-N($G85)*設定!$C$4*設定!$C$15)/(設定!$C$4*(設定!$C$15-$X85)))))</f>
        <v/>
      </c>
      <c r="V85" s="42" t="str">
        <f aca="false">IF($L85="","",IF(NOT(ISNUMBER($O85)),"要確認：重量が送料表の範囲外",IF(AND($T85&gt;=設定!$C$12,$S85&gt;=設定!$C$13,N($J85)&gt;=設定!$C$14),"◎ 出品候補",IF(AND($T85&gt;=設定!$C$12,$S85&gt;=設定!$C$13),"△ 利益OK・販売実績が不足","× 見送り"))))</f>
        <v/>
      </c>
      <c r="W85" s="3"/>
      <c r="X85" s="43" t="str">
        <f aca="false">IF($H85="","",INDEX(設定!$C$20:$C$23,MATCH($H85,設定!$A$20:$A$23,0)))</f>
        <v/>
      </c>
      <c r="Y85" s="44" t="str">
        <f aca="false">IF($H85="","",INDEX(設定!$D$20:$D$23,MATCH($H85,設定!$A$20:$A$23,0))+INDEX(設定!$E$20:$E$23,MATCH($H85,設定!$A$20:$A$23,0)))</f>
        <v/>
      </c>
    </row>
    <row r="86" customFormat="false" ht="15" hidden="false" customHeight="false" outlineLevel="0" collapsed="false">
      <c r="A86" s="34" t="n">
        <v>82</v>
      </c>
      <c r="B86" s="3"/>
      <c r="C86" s="3"/>
      <c r="D86" s="36"/>
      <c r="E86" s="36"/>
      <c r="F86" s="37"/>
      <c r="G86" s="37"/>
      <c r="H86" s="35"/>
      <c r="I86" s="36"/>
      <c r="J86" s="36"/>
      <c r="K86" s="3"/>
      <c r="L86" s="38" t="str">
        <f aca="false">IF(AND($D86&lt;&gt;"",$F86&lt;&gt;"",$H86&lt;&gt;"",$I86&lt;&gt;""),($F86+N($G86))*設定!$C$4,"")</f>
        <v/>
      </c>
      <c r="M86" s="38" t="str">
        <f aca="false">IF($L86="","",(($F86+N($G86))*(設定!$C$6+設定!$C$7+設定!$C$9)+設定!$C$8)*設定!$C$4)</f>
        <v/>
      </c>
      <c r="N86" s="38" t="str">
        <f aca="false">IF($L86="","",($L86-$M86)*設定!$C$10)</f>
        <v/>
      </c>
      <c r="O86" s="38" t="str">
        <f aca="false">IF($L86="","",IF($I86&gt;MAX(送料表!$B$5:$B$18),"範囲外",INDEX(送料表!$C$5:$F$18,MATCH($I86,送料表!$A$5:$A$18,1),MATCH($H86,送料表!$C$4:$F$4,0))))</f>
        <v/>
      </c>
      <c r="P86" s="38" t="str">
        <f aca="false">IF($L86="","",$F86*設定!$C$4*$X86+$Y86)</f>
        <v/>
      </c>
      <c r="Q86" s="38" t="str">
        <f aca="false">IF($L86="","",設定!$C$11)</f>
        <v/>
      </c>
      <c r="R86" s="38" t="str">
        <f aca="false">IF(OR($L86="",NOT(ISNUMBER($O86))),"",N($D86)+N($E86)+$M86+$N86+$O86+$P86+$Q86)</f>
        <v/>
      </c>
      <c r="S86" s="39" t="str">
        <f aca="false">IF($R86="","",$L86-$R86)</f>
        <v/>
      </c>
      <c r="T86" s="40" t="str">
        <f aca="false">IF(OR($S86="",N($L86)=0),"",$S86/$L86)</f>
        <v/>
      </c>
      <c r="U86" s="41" t="str">
        <f aca="false">IF(OR($L86="",NOT(ISNUMBER($O86))),"",IF(設定!$C$16-$X86&lt;=0,"設定を確認",MAX((設定!$C$8*設定!$C$4*(1-設定!$C$10)+$Y86+N($D86)+N($E86)+$O86+$Q86-N($G86)*設定!$C$4*設定!$C$16)/(設定!$C$4*(設定!$C$16-$X86)),(設定!$C$8*設定!$C$4*(1-設定!$C$10)+$Y86+N($D86)+N($E86)+$O86+$Q86+設定!$C$13-N($G86)*設定!$C$4*設定!$C$15)/(設定!$C$4*(設定!$C$15-$X86)))))</f>
        <v/>
      </c>
      <c r="V86" s="42" t="str">
        <f aca="false">IF($L86="","",IF(NOT(ISNUMBER($O86)),"要確認：重量が送料表の範囲外",IF(AND($T86&gt;=設定!$C$12,$S86&gt;=設定!$C$13,N($J86)&gt;=設定!$C$14),"◎ 出品候補",IF(AND($T86&gt;=設定!$C$12,$S86&gt;=設定!$C$13),"△ 利益OK・販売実績が不足","× 見送り"))))</f>
        <v/>
      </c>
      <c r="W86" s="3"/>
      <c r="X86" s="43" t="str">
        <f aca="false">IF($H86="","",INDEX(設定!$C$20:$C$23,MATCH($H86,設定!$A$20:$A$23,0)))</f>
        <v/>
      </c>
      <c r="Y86" s="44" t="str">
        <f aca="false">IF($H86="","",INDEX(設定!$D$20:$D$23,MATCH($H86,設定!$A$20:$A$23,0))+INDEX(設定!$E$20:$E$23,MATCH($H86,設定!$A$20:$A$23,0)))</f>
        <v/>
      </c>
    </row>
    <row r="87" customFormat="false" ht="15" hidden="false" customHeight="false" outlineLevel="0" collapsed="false">
      <c r="A87" s="34" t="n">
        <v>83</v>
      </c>
      <c r="B87" s="3"/>
      <c r="C87" s="3"/>
      <c r="D87" s="36"/>
      <c r="E87" s="36"/>
      <c r="F87" s="37"/>
      <c r="G87" s="37"/>
      <c r="H87" s="35"/>
      <c r="I87" s="36"/>
      <c r="J87" s="36"/>
      <c r="K87" s="3"/>
      <c r="L87" s="38" t="str">
        <f aca="false">IF(AND($D87&lt;&gt;"",$F87&lt;&gt;"",$H87&lt;&gt;"",$I87&lt;&gt;""),($F87+N($G87))*設定!$C$4,"")</f>
        <v/>
      </c>
      <c r="M87" s="38" t="str">
        <f aca="false">IF($L87="","",(($F87+N($G87))*(設定!$C$6+設定!$C$7+設定!$C$9)+設定!$C$8)*設定!$C$4)</f>
        <v/>
      </c>
      <c r="N87" s="38" t="str">
        <f aca="false">IF($L87="","",($L87-$M87)*設定!$C$10)</f>
        <v/>
      </c>
      <c r="O87" s="38" t="str">
        <f aca="false">IF($L87="","",IF($I87&gt;MAX(送料表!$B$5:$B$18),"範囲外",INDEX(送料表!$C$5:$F$18,MATCH($I87,送料表!$A$5:$A$18,1),MATCH($H87,送料表!$C$4:$F$4,0))))</f>
        <v/>
      </c>
      <c r="P87" s="38" t="str">
        <f aca="false">IF($L87="","",$F87*設定!$C$4*$X87+$Y87)</f>
        <v/>
      </c>
      <c r="Q87" s="38" t="str">
        <f aca="false">IF($L87="","",設定!$C$11)</f>
        <v/>
      </c>
      <c r="R87" s="38" t="str">
        <f aca="false">IF(OR($L87="",NOT(ISNUMBER($O87))),"",N($D87)+N($E87)+$M87+$N87+$O87+$P87+$Q87)</f>
        <v/>
      </c>
      <c r="S87" s="39" t="str">
        <f aca="false">IF($R87="","",$L87-$R87)</f>
        <v/>
      </c>
      <c r="T87" s="40" t="str">
        <f aca="false">IF(OR($S87="",N($L87)=0),"",$S87/$L87)</f>
        <v/>
      </c>
      <c r="U87" s="41" t="str">
        <f aca="false">IF(OR($L87="",NOT(ISNUMBER($O87))),"",IF(設定!$C$16-$X87&lt;=0,"設定を確認",MAX((設定!$C$8*設定!$C$4*(1-設定!$C$10)+$Y87+N($D87)+N($E87)+$O87+$Q87-N($G87)*設定!$C$4*設定!$C$16)/(設定!$C$4*(設定!$C$16-$X87)),(設定!$C$8*設定!$C$4*(1-設定!$C$10)+$Y87+N($D87)+N($E87)+$O87+$Q87+設定!$C$13-N($G87)*設定!$C$4*設定!$C$15)/(設定!$C$4*(設定!$C$15-$X87)))))</f>
        <v/>
      </c>
      <c r="V87" s="42" t="str">
        <f aca="false">IF($L87="","",IF(NOT(ISNUMBER($O87)),"要確認：重量が送料表の範囲外",IF(AND($T87&gt;=設定!$C$12,$S87&gt;=設定!$C$13,N($J87)&gt;=設定!$C$14),"◎ 出品候補",IF(AND($T87&gt;=設定!$C$12,$S87&gt;=設定!$C$13),"△ 利益OK・販売実績が不足","× 見送り"))))</f>
        <v/>
      </c>
      <c r="W87" s="3"/>
      <c r="X87" s="43" t="str">
        <f aca="false">IF($H87="","",INDEX(設定!$C$20:$C$23,MATCH($H87,設定!$A$20:$A$23,0)))</f>
        <v/>
      </c>
      <c r="Y87" s="44" t="str">
        <f aca="false">IF($H87="","",INDEX(設定!$D$20:$D$23,MATCH($H87,設定!$A$20:$A$23,0))+INDEX(設定!$E$20:$E$23,MATCH($H87,設定!$A$20:$A$23,0)))</f>
        <v/>
      </c>
    </row>
    <row r="88" customFormat="false" ht="15" hidden="false" customHeight="false" outlineLevel="0" collapsed="false">
      <c r="A88" s="34" t="n">
        <v>84</v>
      </c>
      <c r="B88" s="3"/>
      <c r="C88" s="3"/>
      <c r="D88" s="36"/>
      <c r="E88" s="36"/>
      <c r="F88" s="37"/>
      <c r="G88" s="37"/>
      <c r="H88" s="35"/>
      <c r="I88" s="36"/>
      <c r="J88" s="36"/>
      <c r="K88" s="3"/>
      <c r="L88" s="38" t="str">
        <f aca="false">IF(AND($D88&lt;&gt;"",$F88&lt;&gt;"",$H88&lt;&gt;"",$I88&lt;&gt;""),($F88+N($G88))*設定!$C$4,"")</f>
        <v/>
      </c>
      <c r="M88" s="38" t="str">
        <f aca="false">IF($L88="","",(($F88+N($G88))*(設定!$C$6+設定!$C$7+設定!$C$9)+設定!$C$8)*設定!$C$4)</f>
        <v/>
      </c>
      <c r="N88" s="38" t="str">
        <f aca="false">IF($L88="","",($L88-$M88)*設定!$C$10)</f>
        <v/>
      </c>
      <c r="O88" s="38" t="str">
        <f aca="false">IF($L88="","",IF($I88&gt;MAX(送料表!$B$5:$B$18),"範囲外",INDEX(送料表!$C$5:$F$18,MATCH($I88,送料表!$A$5:$A$18,1),MATCH($H88,送料表!$C$4:$F$4,0))))</f>
        <v/>
      </c>
      <c r="P88" s="38" t="str">
        <f aca="false">IF($L88="","",$F88*設定!$C$4*$X88+$Y88)</f>
        <v/>
      </c>
      <c r="Q88" s="38" t="str">
        <f aca="false">IF($L88="","",設定!$C$11)</f>
        <v/>
      </c>
      <c r="R88" s="38" t="str">
        <f aca="false">IF(OR($L88="",NOT(ISNUMBER($O88))),"",N($D88)+N($E88)+$M88+$N88+$O88+$P88+$Q88)</f>
        <v/>
      </c>
      <c r="S88" s="39" t="str">
        <f aca="false">IF($R88="","",$L88-$R88)</f>
        <v/>
      </c>
      <c r="T88" s="40" t="str">
        <f aca="false">IF(OR($S88="",N($L88)=0),"",$S88/$L88)</f>
        <v/>
      </c>
      <c r="U88" s="41" t="str">
        <f aca="false">IF(OR($L88="",NOT(ISNUMBER($O88))),"",IF(設定!$C$16-$X88&lt;=0,"設定を確認",MAX((設定!$C$8*設定!$C$4*(1-設定!$C$10)+$Y88+N($D88)+N($E88)+$O88+$Q88-N($G88)*設定!$C$4*設定!$C$16)/(設定!$C$4*(設定!$C$16-$X88)),(設定!$C$8*設定!$C$4*(1-設定!$C$10)+$Y88+N($D88)+N($E88)+$O88+$Q88+設定!$C$13-N($G88)*設定!$C$4*設定!$C$15)/(設定!$C$4*(設定!$C$15-$X88)))))</f>
        <v/>
      </c>
      <c r="V88" s="42" t="str">
        <f aca="false">IF($L88="","",IF(NOT(ISNUMBER($O88)),"要確認：重量が送料表の範囲外",IF(AND($T88&gt;=設定!$C$12,$S88&gt;=設定!$C$13,N($J88)&gt;=設定!$C$14),"◎ 出品候補",IF(AND($T88&gt;=設定!$C$12,$S88&gt;=設定!$C$13),"△ 利益OK・販売実績が不足","× 見送り"))))</f>
        <v/>
      </c>
      <c r="W88" s="3"/>
      <c r="X88" s="43" t="str">
        <f aca="false">IF($H88="","",INDEX(設定!$C$20:$C$23,MATCH($H88,設定!$A$20:$A$23,0)))</f>
        <v/>
      </c>
      <c r="Y88" s="44" t="str">
        <f aca="false">IF($H88="","",INDEX(設定!$D$20:$D$23,MATCH($H88,設定!$A$20:$A$23,0))+INDEX(設定!$E$20:$E$23,MATCH($H88,設定!$A$20:$A$23,0)))</f>
        <v/>
      </c>
    </row>
    <row r="89" customFormat="false" ht="15" hidden="false" customHeight="false" outlineLevel="0" collapsed="false">
      <c r="A89" s="34" t="n">
        <v>85</v>
      </c>
      <c r="B89" s="3"/>
      <c r="C89" s="3"/>
      <c r="D89" s="36"/>
      <c r="E89" s="36"/>
      <c r="F89" s="37"/>
      <c r="G89" s="37"/>
      <c r="H89" s="35"/>
      <c r="I89" s="36"/>
      <c r="J89" s="36"/>
      <c r="K89" s="3"/>
      <c r="L89" s="38" t="str">
        <f aca="false">IF(AND($D89&lt;&gt;"",$F89&lt;&gt;"",$H89&lt;&gt;"",$I89&lt;&gt;""),($F89+N($G89))*設定!$C$4,"")</f>
        <v/>
      </c>
      <c r="M89" s="38" t="str">
        <f aca="false">IF($L89="","",(($F89+N($G89))*(設定!$C$6+設定!$C$7+設定!$C$9)+設定!$C$8)*設定!$C$4)</f>
        <v/>
      </c>
      <c r="N89" s="38" t="str">
        <f aca="false">IF($L89="","",($L89-$M89)*設定!$C$10)</f>
        <v/>
      </c>
      <c r="O89" s="38" t="str">
        <f aca="false">IF($L89="","",IF($I89&gt;MAX(送料表!$B$5:$B$18),"範囲外",INDEX(送料表!$C$5:$F$18,MATCH($I89,送料表!$A$5:$A$18,1),MATCH($H89,送料表!$C$4:$F$4,0))))</f>
        <v/>
      </c>
      <c r="P89" s="38" t="str">
        <f aca="false">IF($L89="","",$F89*設定!$C$4*$X89+$Y89)</f>
        <v/>
      </c>
      <c r="Q89" s="38" t="str">
        <f aca="false">IF($L89="","",設定!$C$11)</f>
        <v/>
      </c>
      <c r="R89" s="38" t="str">
        <f aca="false">IF(OR($L89="",NOT(ISNUMBER($O89))),"",N($D89)+N($E89)+$M89+$N89+$O89+$P89+$Q89)</f>
        <v/>
      </c>
      <c r="S89" s="39" t="str">
        <f aca="false">IF($R89="","",$L89-$R89)</f>
        <v/>
      </c>
      <c r="T89" s="40" t="str">
        <f aca="false">IF(OR($S89="",N($L89)=0),"",$S89/$L89)</f>
        <v/>
      </c>
      <c r="U89" s="41" t="str">
        <f aca="false">IF(OR($L89="",NOT(ISNUMBER($O89))),"",IF(設定!$C$16-$X89&lt;=0,"設定を確認",MAX((設定!$C$8*設定!$C$4*(1-設定!$C$10)+$Y89+N($D89)+N($E89)+$O89+$Q89-N($G89)*設定!$C$4*設定!$C$16)/(設定!$C$4*(設定!$C$16-$X89)),(設定!$C$8*設定!$C$4*(1-設定!$C$10)+$Y89+N($D89)+N($E89)+$O89+$Q89+設定!$C$13-N($G89)*設定!$C$4*設定!$C$15)/(設定!$C$4*(設定!$C$15-$X89)))))</f>
        <v/>
      </c>
      <c r="V89" s="42" t="str">
        <f aca="false">IF($L89="","",IF(NOT(ISNUMBER($O89)),"要確認：重量が送料表の範囲外",IF(AND($T89&gt;=設定!$C$12,$S89&gt;=設定!$C$13,N($J89)&gt;=設定!$C$14),"◎ 出品候補",IF(AND($T89&gt;=設定!$C$12,$S89&gt;=設定!$C$13),"△ 利益OK・販売実績が不足","× 見送り"))))</f>
        <v/>
      </c>
      <c r="W89" s="3"/>
      <c r="X89" s="43" t="str">
        <f aca="false">IF($H89="","",INDEX(設定!$C$20:$C$23,MATCH($H89,設定!$A$20:$A$23,0)))</f>
        <v/>
      </c>
      <c r="Y89" s="44" t="str">
        <f aca="false">IF($H89="","",INDEX(設定!$D$20:$D$23,MATCH($H89,設定!$A$20:$A$23,0))+INDEX(設定!$E$20:$E$23,MATCH($H89,設定!$A$20:$A$23,0)))</f>
        <v/>
      </c>
    </row>
    <row r="90" customFormat="false" ht="15" hidden="false" customHeight="false" outlineLevel="0" collapsed="false">
      <c r="A90" s="34" t="n">
        <v>86</v>
      </c>
      <c r="B90" s="3"/>
      <c r="C90" s="3"/>
      <c r="D90" s="36"/>
      <c r="E90" s="36"/>
      <c r="F90" s="37"/>
      <c r="G90" s="37"/>
      <c r="H90" s="35"/>
      <c r="I90" s="36"/>
      <c r="J90" s="36"/>
      <c r="K90" s="3"/>
      <c r="L90" s="38" t="str">
        <f aca="false">IF(AND($D90&lt;&gt;"",$F90&lt;&gt;"",$H90&lt;&gt;"",$I90&lt;&gt;""),($F90+N($G90))*設定!$C$4,"")</f>
        <v/>
      </c>
      <c r="M90" s="38" t="str">
        <f aca="false">IF($L90="","",(($F90+N($G90))*(設定!$C$6+設定!$C$7+設定!$C$9)+設定!$C$8)*設定!$C$4)</f>
        <v/>
      </c>
      <c r="N90" s="38" t="str">
        <f aca="false">IF($L90="","",($L90-$M90)*設定!$C$10)</f>
        <v/>
      </c>
      <c r="O90" s="38" t="str">
        <f aca="false">IF($L90="","",IF($I90&gt;MAX(送料表!$B$5:$B$18),"範囲外",INDEX(送料表!$C$5:$F$18,MATCH($I90,送料表!$A$5:$A$18,1),MATCH($H90,送料表!$C$4:$F$4,0))))</f>
        <v/>
      </c>
      <c r="P90" s="38" t="str">
        <f aca="false">IF($L90="","",$F90*設定!$C$4*$X90+$Y90)</f>
        <v/>
      </c>
      <c r="Q90" s="38" t="str">
        <f aca="false">IF($L90="","",設定!$C$11)</f>
        <v/>
      </c>
      <c r="R90" s="38" t="str">
        <f aca="false">IF(OR($L90="",NOT(ISNUMBER($O90))),"",N($D90)+N($E90)+$M90+$N90+$O90+$P90+$Q90)</f>
        <v/>
      </c>
      <c r="S90" s="39" t="str">
        <f aca="false">IF($R90="","",$L90-$R90)</f>
        <v/>
      </c>
      <c r="T90" s="40" t="str">
        <f aca="false">IF(OR($S90="",N($L90)=0),"",$S90/$L90)</f>
        <v/>
      </c>
      <c r="U90" s="41" t="str">
        <f aca="false">IF(OR($L90="",NOT(ISNUMBER($O90))),"",IF(設定!$C$16-$X90&lt;=0,"設定を確認",MAX((設定!$C$8*設定!$C$4*(1-設定!$C$10)+$Y90+N($D90)+N($E90)+$O90+$Q90-N($G90)*設定!$C$4*設定!$C$16)/(設定!$C$4*(設定!$C$16-$X90)),(設定!$C$8*設定!$C$4*(1-設定!$C$10)+$Y90+N($D90)+N($E90)+$O90+$Q90+設定!$C$13-N($G90)*設定!$C$4*設定!$C$15)/(設定!$C$4*(設定!$C$15-$X90)))))</f>
        <v/>
      </c>
      <c r="V90" s="42" t="str">
        <f aca="false">IF($L90="","",IF(NOT(ISNUMBER($O90)),"要確認：重量が送料表の範囲外",IF(AND($T90&gt;=設定!$C$12,$S90&gt;=設定!$C$13,N($J90)&gt;=設定!$C$14),"◎ 出品候補",IF(AND($T90&gt;=設定!$C$12,$S90&gt;=設定!$C$13),"△ 利益OK・販売実績が不足","× 見送り"))))</f>
        <v/>
      </c>
      <c r="W90" s="3"/>
      <c r="X90" s="43" t="str">
        <f aca="false">IF($H90="","",INDEX(設定!$C$20:$C$23,MATCH($H90,設定!$A$20:$A$23,0)))</f>
        <v/>
      </c>
      <c r="Y90" s="44" t="str">
        <f aca="false">IF($H90="","",INDEX(設定!$D$20:$D$23,MATCH($H90,設定!$A$20:$A$23,0))+INDEX(設定!$E$20:$E$23,MATCH($H90,設定!$A$20:$A$23,0)))</f>
        <v/>
      </c>
    </row>
    <row r="91" customFormat="false" ht="15" hidden="false" customHeight="false" outlineLevel="0" collapsed="false">
      <c r="A91" s="34" t="n">
        <v>87</v>
      </c>
      <c r="B91" s="3"/>
      <c r="C91" s="3"/>
      <c r="D91" s="36"/>
      <c r="E91" s="36"/>
      <c r="F91" s="37"/>
      <c r="G91" s="37"/>
      <c r="H91" s="35"/>
      <c r="I91" s="36"/>
      <c r="J91" s="36"/>
      <c r="K91" s="3"/>
      <c r="L91" s="38" t="str">
        <f aca="false">IF(AND($D91&lt;&gt;"",$F91&lt;&gt;"",$H91&lt;&gt;"",$I91&lt;&gt;""),($F91+N($G91))*設定!$C$4,"")</f>
        <v/>
      </c>
      <c r="M91" s="38" t="str">
        <f aca="false">IF($L91="","",(($F91+N($G91))*(設定!$C$6+設定!$C$7+設定!$C$9)+設定!$C$8)*設定!$C$4)</f>
        <v/>
      </c>
      <c r="N91" s="38" t="str">
        <f aca="false">IF($L91="","",($L91-$M91)*設定!$C$10)</f>
        <v/>
      </c>
      <c r="O91" s="38" t="str">
        <f aca="false">IF($L91="","",IF($I91&gt;MAX(送料表!$B$5:$B$18),"範囲外",INDEX(送料表!$C$5:$F$18,MATCH($I91,送料表!$A$5:$A$18,1),MATCH($H91,送料表!$C$4:$F$4,0))))</f>
        <v/>
      </c>
      <c r="P91" s="38" t="str">
        <f aca="false">IF($L91="","",$F91*設定!$C$4*$X91+$Y91)</f>
        <v/>
      </c>
      <c r="Q91" s="38" t="str">
        <f aca="false">IF($L91="","",設定!$C$11)</f>
        <v/>
      </c>
      <c r="R91" s="38" t="str">
        <f aca="false">IF(OR($L91="",NOT(ISNUMBER($O91))),"",N($D91)+N($E91)+$M91+$N91+$O91+$P91+$Q91)</f>
        <v/>
      </c>
      <c r="S91" s="39" t="str">
        <f aca="false">IF($R91="","",$L91-$R91)</f>
        <v/>
      </c>
      <c r="T91" s="40" t="str">
        <f aca="false">IF(OR($S91="",N($L91)=0),"",$S91/$L91)</f>
        <v/>
      </c>
      <c r="U91" s="41" t="str">
        <f aca="false">IF(OR($L91="",NOT(ISNUMBER($O91))),"",IF(設定!$C$16-$X91&lt;=0,"設定を確認",MAX((設定!$C$8*設定!$C$4*(1-設定!$C$10)+$Y91+N($D91)+N($E91)+$O91+$Q91-N($G91)*設定!$C$4*設定!$C$16)/(設定!$C$4*(設定!$C$16-$X91)),(設定!$C$8*設定!$C$4*(1-設定!$C$10)+$Y91+N($D91)+N($E91)+$O91+$Q91+設定!$C$13-N($G91)*設定!$C$4*設定!$C$15)/(設定!$C$4*(設定!$C$15-$X91)))))</f>
        <v/>
      </c>
      <c r="V91" s="42" t="str">
        <f aca="false">IF($L91="","",IF(NOT(ISNUMBER($O91)),"要確認：重量が送料表の範囲外",IF(AND($T91&gt;=設定!$C$12,$S91&gt;=設定!$C$13,N($J91)&gt;=設定!$C$14),"◎ 出品候補",IF(AND($T91&gt;=設定!$C$12,$S91&gt;=設定!$C$13),"△ 利益OK・販売実績が不足","× 見送り"))))</f>
        <v/>
      </c>
      <c r="W91" s="3"/>
      <c r="X91" s="43" t="str">
        <f aca="false">IF($H91="","",INDEX(設定!$C$20:$C$23,MATCH($H91,設定!$A$20:$A$23,0)))</f>
        <v/>
      </c>
      <c r="Y91" s="44" t="str">
        <f aca="false">IF($H91="","",INDEX(設定!$D$20:$D$23,MATCH($H91,設定!$A$20:$A$23,0))+INDEX(設定!$E$20:$E$23,MATCH($H91,設定!$A$20:$A$23,0)))</f>
        <v/>
      </c>
    </row>
    <row r="92" customFormat="false" ht="15" hidden="false" customHeight="false" outlineLevel="0" collapsed="false">
      <c r="A92" s="34" t="n">
        <v>88</v>
      </c>
      <c r="B92" s="3"/>
      <c r="C92" s="3"/>
      <c r="D92" s="36"/>
      <c r="E92" s="36"/>
      <c r="F92" s="37"/>
      <c r="G92" s="37"/>
      <c r="H92" s="35"/>
      <c r="I92" s="36"/>
      <c r="J92" s="36"/>
      <c r="K92" s="3"/>
      <c r="L92" s="38" t="str">
        <f aca="false">IF(AND($D92&lt;&gt;"",$F92&lt;&gt;"",$H92&lt;&gt;"",$I92&lt;&gt;""),($F92+N($G92))*設定!$C$4,"")</f>
        <v/>
      </c>
      <c r="M92" s="38" t="str">
        <f aca="false">IF($L92="","",(($F92+N($G92))*(設定!$C$6+設定!$C$7+設定!$C$9)+設定!$C$8)*設定!$C$4)</f>
        <v/>
      </c>
      <c r="N92" s="38" t="str">
        <f aca="false">IF($L92="","",($L92-$M92)*設定!$C$10)</f>
        <v/>
      </c>
      <c r="O92" s="38" t="str">
        <f aca="false">IF($L92="","",IF($I92&gt;MAX(送料表!$B$5:$B$18),"範囲外",INDEX(送料表!$C$5:$F$18,MATCH($I92,送料表!$A$5:$A$18,1),MATCH($H92,送料表!$C$4:$F$4,0))))</f>
        <v/>
      </c>
      <c r="P92" s="38" t="str">
        <f aca="false">IF($L92="","",$F92*設定!$C$4*$X92+$Y92)</f>
        <v/>
      </c>
      <c r="Q92" s="38" t="str">
        <f aca="false">IF($L92="","",設定!$C$11)</f>
        <v/>
      </c>
      <c r="R92" s="38" t="str">
        <f aca="false">IF(OR($L92="",NOT(ISNUMBER($O92))),"",N($D92)+N($E92)+$M92+$N92+$O92+$P92+$Q92)</f>
        <v/>
      </c>
      <c r="S92" s="39" t="str">
        <f aca="false">IF($R92="","",$L92-$R92)</f>
        <v/>
      </c>
      <c r="T92" s="40" t="str">
        <f aca="false">IF(OR($S92="",N($L92)=0),"",$S92/$L92)</f>
        <v/>
      </c>
      <c r="U92" s="41" t="str">
        <f aca="false">IF(OR($L92="",NOT(ISNUMBER($O92))),"",IF(設定!$C$16-$X92&lt;=0,"設定を確認",MAX((設定!$C$8*設定!$C$4*(1-設定!$C$10)+$Y92+N($D92)+N($E92)+$O92+$Q92-N($G92)*設定!$C$4*設定!$C$16)/(設定!$C$4*(設定!$C$16-$X92)),(設定!$C$8*設定!$C$4*(1-設定!$C$10)+$Y92+N($D92)+N($E92)+$O92+$Q92+設定!$C$13-N($G92)*設定!$C$4*設定!$C$15)/(設定!$C$4*(設定!$C$15-$X92)))))</f>
        <v/>
      </c>
      <c r="V92" s="42" t="str">
        <f aca="false">IF($L92="","",IF(NOT(ISNUMBER($O92)),"要確認：重量が送料表の範囲外",IF(AND($T92&gt;=設定!$C$12,$S92&gt;=設定!$C$13,N($J92)&gt;=設定!$C$14),"◎ 出品候補",IF(AND($T92&gt;=設定!$C$12,$S92&gt;=設定!$C$13),"△ 利益OK・販売実績が不足","× 見送り"))))</f>
        <v/>
      </c>
      <c r="W92" s="3"/>
      <c r="X92" s="43" t="str">
        <f aca="false">IF($H92="","",INDEX(設定!$C$20:$C$23,MATCH($H92,設定!$A$20:$A$23,0)))</f>
        <v/>
      </c>
      <c r="Y92" s="44" t="str">
        <f aca="false">IF($H92="","",INDEX(設定!$D$20:$D$23,MATCH($H92,設定!$A$20:$A$23,0))+INDEX(設定!$E$20:$E$23,MATCH($H92,設定!$A$20:$A$23,0)))</f>
        <v/>
      </c>
    </row>
    <row r="93" customFormat="false" ht="15" hidden="false" customHeight="false" outlineLevel="0" collapsed="false">
      <c r="A93" s="34" t="n">
        <v>89</v>
      </c>
      <c r="B93" s="3"/>
      <c r="C93" s="3"/>
      <c r="D93" s="36"/>
      <c r="E93" s="36"/>
      <c r="F93" s="37"/>
      <c r="G93" s="37"/>
      <c r="H93" s="35"/>
      <c r="I93" s="36"/>
      <c r="J93" s="36"/>
      <c r="K93" s="3"/>
      <c r="L93" s="38" t="str">
        <f aca="false">IF(AND($D93&lt;&gt;"",$F93&lt;&gt;"",$H93&lt;&gt;"",$I93&lt;&gt;""),($F93+N($G93))*設定!$C$4,"")</f>
        <v/>
      </c>
      <c r="M93" s="38" t="str">
        <f aca="false">IF($L93="","",(($F93+N($G93))*(設定!$C$6+設定!$C$7+設定!$C$9)+設定!$C$8)*設定!$C$4)</f>
        <v/>
      </c>
      <c r="N93" s="38" t="str">
        <f aca="false">IF($L93="","",($L93-$M93)*設定!$C$10)</f>
        <v/>
      </c>
      <c r="O93" s="38" t="str">
        <f aca="false">IF($L93="","",IF($I93&gt;MAX(送料表!$B$5:$B$18),"範囲外",INDEX(送料表!$C$5:$F$18,MATCH($I93,送料表!$A$5:$A$18,1),MATCH($H93,送料表!$C$4:$F$4,0))))</f>
        <v/>
      </c>
      <c r="P93" s="38" t="str">
        <f aca="false">IF($L93="","",$F93*設定!$C$4*$X93+$Y93)</f>
        <v/>
      </c>
      <c r="Q93" s="38" t="str">
        <f aca="false">IF($L93="","",設定!$C$11)</f>
        <v/>
      </c>
      <c r="R93" s="38" t="str">
        <f aca="false">IF(OR($L93="",NOT(ISNUMBER($O93))),"",N($D93)+N($E93)+$M93+$N93+$O93+$P93+$Q93)</f>
        <v/>
      </c>
      <c r="S93" s="39" t="str">
        <f aca="false">IF($R93="","",$L93-$R93)</f>
        <v/>
      </c>
      <c r="T93" s="40" t="str">
        <f aca="false">IF(OR($S93="",N($L93)=0),"",$S93/$L93)</f>
        <v/>
      </c>
      <c r="U93" s="41" t="str">
        <f aca="false">IF(OR($L93="",NOT(ISNUMBER($O93))),"",IF(設定!$C$16-$X93&lt;=0,"設定を確認",MAX((設定!$C$8*設定!$C$4*(1-設定!$C$10)+$Y93+N($D93)+N($E93)+$O93+$Q93-N($G93)*設定!$C$4*設定!$C$16)/(設定!$C$4*(設定!$C$16-$X93)),(設定!$C$8*設定!$C$4*(1-設定!$C$10)+$Y93+N($D93)+N($E93)+$O93+$Q93+設定!$C$13-N($G93)*設定!$C$4*設定!$C$15)/(設定!$C$4*(設定!$C$15-$X93)))))</f>
        <v/>
      </c>
      <c r="V93" s="42" t="str">
        <f aca="false">IF($L93="","",IF(NOT(ISNUMBER($O93)),"要確認：重量が送料表の範囲外",IF(AND($T93&gt;=設定!$C$12,$S93&gt;=設定!$C$13,N($J93)&gt;=設定!$C$14),"◎ 出品候補",IF(AND($T93&gt;=設定!$C$12,$S93&gt;=設定!$C$13),"△ 利益OK・販売実績が不足","× 見送り"))))</f>
        <v/>
      </c>
      <c r="W93" s="3"/>
      <c r="X93" s="43" t="str">
        <f aca="false">IF($H93="","",INDEX(設定!$C$20:$C$23,MATCH($H93,設定!$A$20:$A$23,0)))</f>
        <v/>
      </c>
      <c r="Y93" s="44" t="str">
        <f aca="false">IF($H93="","",INDEX(設定!$D$20:$D$23,MATCH($H93,設定!$A$20:$A$23,0))+INDEX(設定!$E$20:$E$23,MATCH($H93,設定!$A$20:$A$23,0)))</f>
        <v/>
      </c>
    </row>
    <row r="94" customFormat="false" ht="15" hidden="false" customHeight="false" outlineLevel="0" collapsed="false">
      <c r="A94" s="34" t="n">
        <v>90</v>
      </c>
      <c r="B94" s="3"/>
      <c r="C94" s="3"/>
      <c r="D94" s="36"/>
      <c r="E94" s="36"/>
      <c r="F94" s="37"/>
      <c r="G94" s="37"/>
      <c r="H94" s="35"/>
      <c r="I94" s="36"/>
      <c r="J94" s="36"/>
      <c r="K94" s="3"/>
      <c r="L94" s="38" t="str">
        <f aca="false">IF(AND($D94&lt;&gt;"",$F94&lt;&gt;"",$H94&lt;&gt;"",$I94&lt;&gt;""),($F94+N($G94))*設定!$C$4,"")</f>
        <v/>
      </c>
      <c r="M94" s="38" t="str">
        <f aca="false">IF($L94="","",(($F94+N($G94))*(設定!$C$6+設定!$C$7+設定!$C$9)+設定!$C$8)*設定!$C$4)</f>
        <v/>
      </c>
      <c r="N94" s="38" t="str">
        <f aca="false">IF($L94="","",($L94-$M94)*設定!$C$10)</f>
        <v/>
      </c>
      <c r="O94" s="38" t="str">
        <f aca="false">IF($L94="","",IF($I94&gt;MAX(送料表!$B$5:$B$18),"範囲外",INDEX(送料表!$C$5:$F$18,MATCH($I94,送料表!$A$5:$A$18,1),MATCH($H94,送料表!$C$4:$F$4,0))))</f>
        <v/>
      </c>
      <c r="P94" s="38" t="str">
        <f aca="false">IF($L94="","",$F94*設定!$C$4*$X94+$Y94)</f>
        <v/>
      </c>
      <c r="Q94" s="38" t="str">
        <f aca="false">IF($L94="","",設定!$C$11)</f>
        <v/>
      </c>
      <c r="R94" s="38" t="str">
        <f aca="false">IF(OR($L94="",NOT(ISNUMBER($O94))),"",N($D94)+N($E94)+$M94+$N94+$O94+$P94+$Q94)</f>
        <v/>
      </c>
      <c r="S94" s="39" t="str">
        <f aca="false">IF($R94="","",$L94-$R94)</f>
        <v/>
      </c>
      <c r="T94" s="40" t="str">
        <f aca="false">IF(OR($S94="",N($L94)=0),"",$S94/$L94)</f>
        <v/>
      </c>
      <c r="U94" s="41" t="str">
        <f aca="false">IF(OR($L94="",NOT(ISNUMBER($O94))),"",IF(設定!$C$16-$X94&lt;=0,"設定を確認",MAX((設定!$C$8*設定!$C$4*(1-設定!$C$10)+$Y94+N($D94)+N($E94)+$O94+$Q94-N($G94)*設定!$C$4*設定!$C$16)/(設定!$C$4*(設定!$C$16-$X94)),(設定!$C$8*設定!$C$4*(1-設定!$C$10)+$Y94+N($D94)+N($E94)+$O94+$Q94+設定!$C$13-N($G94)*設定!$C$4*設定!$C$15)/(設定!$C$4*(設定!$C$15-$X94)))))</f>
        <v/>
      </c>
      <c r="V94" s="42" t="str">
        <f aca="false">IF($L94="","",IF(NOT(ISNUMBER($O94)),"要確認：重量が送料表の範囲外",IF(AND($T94&gt;=設定!$C$12,$S94&gt;=設定!$C$13,N($J94)&gt;=設定!$C$14),"◎ 出品候補",IF(AND($T94&gt;=設定!$C$12,$S94&gt;=設定!$C$13),"△ 利益OK・販売実績が不足","× 見送り"))))</f>
        <v/>
      </c>
      <c r="W94" s="3"/>
      <c r="X94" s="43" t="str">
        <f aca="false">IF($H94="","",INDEX(設定!$C$20:$C$23,MATCH($H94,設定!$A$20:$A$23,0)))</f>
        <v/>
      </c>
      <c r="Y94" s="44" t="str">
        <f aca="false">IF($H94="","",INDEX(設定!$D$20:$D$23,MATCH($H94,設定!$A$20:$A$23,0))+INDEX(設定!$E$20:$E$23,MATCH($H94,設定!$A$20:$A$23,0)))</f>
        <v/>
      </c>
    </row>
    <row r="95" customFormat="false" ht="15" hidden="false" customHeight="false" outlineLevel="0" collapsed="false">
      <c r="A95" s="34" t="n">
        <v>91</v>
      </c>
      <c r="B95" s="3"/>
      <c r="C95" s="3"/>
      <c r="D95" s="36"/>
      <c r="E95" s="36"/>
      <c r="F95" s="37"/>
      <c r="G95" s="37"/>
      <c r="H95" s="35"/>
      <c r="I95" s="36"/>
      <c r="J95" s="36"/>
      <c r="K95" s="3"/>
      <c r="L95" s="38" t="str">
        <f aca="false">IF(AND($D95&lt;&gt;"",$F95&lt;&gt;"",$H95&lt;&gt;"",$I95&lt;&gt;""),($F95+N($G95))*設定!$C$4,"")</f>
        <v/>
      </c>
      <c r="M95" s="38" t="str">
        <f aca="false">IF($L95="","",(($F95+N($G95))*(設定!$C$6+設定!$C$7+設定!$C$9)+設定!$C$8)*設定!$C$4)</f>
        <v/>
      </c>
      <c r="N95" s="38" t="str">
        <f aca="false">IF($L95="","",($L95-$M95)*設定!$C$10)</f>
        <v/>
      </c>
      <c r="O95" s="38" t="str">
        <f aca="false">IF($L95="","",IF($I95&gt;MAX(送料表!$B$5:$B$18),"範囲外",INDEX(送料表!$C$5:$F$18,MATCH($I95,送料表!$A$5:$A$18,1),MATCH($H95,送料表!$C$4:$F$4,0))))</f>
        <v/>
      </c>
      <c r="P95" s="38" t="str">
        <f aca="false">IF($L95="","",$F95*設定!$C$4*$X95+$Y95)</f>
        <v/>
      </c>
      <c r="Q95" s="38" t="str">
        <f aca="false">IF($L95="","",設定!$C$11)</f>
        <v/>
      </c>
      <c r="R95" s="38" t="str">
        <f aca="false">IF(OR($L95="",NOT(ISNUMBER($O95))),"",N($D95)+N($E95)+$M95+$N95+$O95+$P95+$Q95)</f>
        <v/>
      </c>
      <c r="S95" s="39" t="str">
        <f aca="false">IF($R95="","",$L95-$R95)</f>
        <v/>
      </c>
      <c r="T95" s="40" t="str">
        <f aca="false">IF(OR($S95="",N($L95)=0),"",$S95/$L95)</f>
        <v/>
      </c>
      <c r="U95" s="41" t="str">
        <f aca="false">IF(OR($L95="",NOT(ISNUMBER($O95))),"",IF(設定!$C$16-$X95&lt;=0,"設定を確認",MAX((設定!$C$8*設定!$C$4*(1-設定!$C$10)+$Y95+N($D95)+N($E95)+$O95+$Q95-N($G95)*設定!$C$4*設定!$C$16)/(設定!$C$4*(設定!$C$16-$X95)),(設定!$C$8*設定!$C$4*(1-設定!$C$10)+$Y95+N($D95)+N($E95)+$O95+$Q95+設定!$C$13-N($G95)*設定!$C$4*設定!$C$15)/(設定!$C$4*(設定!$C$15-$X95)))))</f>
        <v/>
      </c>
      <c r="V95" s="42" t="str">
        <f aca="false">IF($L95="","",IF(NOT(ISNUMBER($O95)),"要確認：重量が送料表の範囲外",IF(AND($T95&gt;=設定!$C$12,$S95&gt;=設定!$C$13,N($J95)&gt;=設定!$C$14),"◎ 出品候補",IF(AND($T95&gt;=設定!$C$12,$S95&gt;=設定!$C$13),"△ 利益OK・販売実績が不足","× 見送り"))))</f>
        <v/>
      </c>
      <c r="W95" s="3"/>
      <c r="X95" s="43" t="str">
        <f aca="false">IF($H95="","",INDEX(設定!$C$20:$C$23,MATCH($H95,設定!$A$20:$A$23,0)))</f>
        <v/>
      </c>
      <c r="Y95" s="44" t="str">
        <f aca="false">IF($H95="","",INDEX(設定!$D$20:$D$23,MATCH($H95,設定!$A$20:$A$23,0))+INDEX(設定!$E$20:$E$23,MATCH($H95,設定!$A$20:$A$23,0)))</f>
        <v/>
      </c>
    </row>
    <row r="96" customFormat="false" ht="15" hidden="false" customHeight="false" outlineLevel="0" collapsed="false">
      <c r="A96" s="34" t="n">
        <v>92</v>
      </c>
      <c r="B96" s="3"/>
      <c r="C96" s="3"/>
      <c r="D96" s="36"/>
      <c r="E96" s="36"/>
      <c r="F96" s="37"/>
      <c r="G96" s="37"/>
      <c r="H96" s="35"/>
      <c r="I96" s="36"/>
      <c r="J96" s="36"/>
      <c r="K96" s="3"/>
      <c r="L96" s="38" t="str">
        <f aca="false">IF(AND($D96&lt;&gt;"",$F96&lt;&gt;"",$H96&lt;&gt;"",$I96&lt;&gt;""),($F96+N($G96))*設定!$C$4,"")</f>
        <v/>
      </c>
      <c r="M96" s="38" t="str">
        <f aca="false">IF($L96="","",(($F96+N($G96))*(設定!$C$6+設定!$C$7+設定!$C$9)+設定!$C$8)*設定!$C$4)</f>
        <v/>
      </c>
      <c r="N96" s="38" t="str">
        <f aca="false">IF($L96="","",($L96-$M96)*設定!$C$10)</f>
        <v/>
      </c>
      <c r="O96" s="38" t="str">
        <f aca="false">IF($L96="","",IF($I96&gt;MAX(送料表!$B$5:$B$18),"範囲外",INDEX(送料表!$C$5:$F$18,MATCH($I96,送料表!$A$5:$A$18,1),MATCH($H96,送料表!$C$4:$F$4,0))))</f>
        <v/>
      </c>
      <c r="P96" s="38" t="str">
        <f aca="false">IF($L96="","",$F96*設定!$C$4*$X96+$Y96)</f>
        <v/>
      </c>
      <c r="Q96" s="38" t="str">
        <f aca="false">IF($L96="","",設定!$C$11)</f>
        <v/>
      </c>
      <c r="R96" s="38" t="str">
        <f aca="false">IF(OR($L96="",NOT(ISNUMBER($O96))),"",N($D96)+N($E96)+$M96+$N96+$O96+$P96+$Q96)</f>
        <v/>
      </c>
      <c r="S96" s="39" t="str">
        <f aca="false">IF($R96="","",$L96-$R96)</f>
        <v/>
      </c>
      <c r="T96" s="40" t="str">
        <f aca="false">IF(OR($S96="",N($L96)=0),"",$S96/$L96)</f>
        <v/>
      </c>
      <c r="U96" s="41" t="str">
        <f aca="false">IF(OR($L96="",NOT(ISNUMBER($O96))),"",IF(設定!$C$16-$X96&lt;=0,"設定を確認",MAX((設定!$C$8*設定!$C$4*(1-設定!$C$10)+$Y96+N($D96)+N($E96)+$O96+$Q96-N($G96)*設定!$C$4*設定!$C$16)/(設定!$C$4*(設定!$C$16-$X96)),(設定!$C$8*設定!$C$4*(1-設定!$C$10)+$Y96+N($D96)+N($E96)+$O96+$Q96+設定!$C$13-N($G96)*設定!$C$4*設定!$C$15)/(設定!$C$4*(設定!$C$15-$X96)))))</f>
        <v/>
      </c>
      <c r="V96" s="42" t="str">
        <f aca="false">IF($L96="","",IF(NOT(ISNUMBER($O96)),"要確認：重量が送料表の範囲外",IF(AND($T96&gt;=設定!$C$12,$S96&gt;=設定!$C$13,N($J96)&gt;=設定!$C$14),"◎ 出品候補",IF(AND($T96&gt;=設定!$C$12,$S96&gt;=設定!$C$13),"△ 利益OK・販売実績が不足","× 見送り"))))</f>
        <v/>
      </c>
      <c r="W96" s="3"/>
      <c r="X96" s="43" t="str">
        <f aca="false">IF($H96="","",INDEX(設定!$C$20:$C$23,MATCH($H96,設定!$A$20:$A$23,0)))</f>
        <v/>
      </c>
      <c r="Y96" s="44" t="str">
        <f aca="false">IF($H96="","",INDEX(設定!$D$20:$D$23,MATCH($H96,設定!$A$20:$A$23,0))+INDEX(設定!$E$20:$E$23,MATCH($H96,設定!$A$20:$A$23,0)))</f>
        <v/>
      </c>
    </row>
    <row r="97" customFormat="false" ht="15" hidden="false" customHeight="false" outlineLevel="0" collapsed="false">
      <c r="A97" s="34" t="n">
        <v>93</v>
      </c>
      <c r="B97" s="3"/>
      <c r="C97" s="3"/>
      <c r="D97" s="36"/>
      <c r="E97" s="36"/>
      <c r="F97" s="37"/>
      <c r="G97" s="37"/>
      <c r="H97" s="35"/>
      <c r="I97" s="36"/>
      <c r="J97" s="36"/>
      <c r="K97" s="3"/>
      <c r="L97" s="38" t="str">
        <f aca="false">IF(AND($D97&lt;&gt;"",$F97&lt;&gt;"",$H97&lt;&gt;"",$I97&lt;&gt;""),($F97+N($G97))*設定!$C$4,"")</f>
        <v/>
      </c>
      <c r="M97" s="38" t="str">
        <f aca="false">IF($L97="","",(($F97+N($G97))*(設定!$C$6+設定!$C$7+設定!$C$9)+設定!$C$8)*設定!$C$4)</f>
        <v/>
      </c>
      <c r="N97" s="38" t="str">
        <f aca="false">IF($L97="","",($L97-$M97)*設定!$C$10)</f>
        <v/>
      </c>
      <c r="O97" s="38" t="str">
        <f aca="false">IF($L97="","",IF($I97&gt;MAX(送料表!$B$5:$B$18),"範囲外",INDEX(送料表!$C$5:$F$18,MATCH($I97,送料表!$A$5:$A$18,1),MATCH($H97,送料表!$C$4:$F$4,0))))</f>
        <v/>
      </c>
      <c r="P97" s="38" t="str">
        <f aca="false">IF($L97="","",$F97*設定!$C$4*$X97+$Y97)</f>
        <v/>
      </c>
      <c r="Q97" s="38" t="str">
        <f aca="false">IF($L97="","",設定!$C$11)</f>
        <v/>
      </c>
      <c r="R97" s="38" t="str">
        <f aca="false">IF(OR($L97="",NOT(ISNUMBER($O97))),"",N($D97)+N($E97)+$M97+$N97+$O97+$P97+$Q97)</f>
        <v/>
      </c>
      <c r="S97" s="39" t="str">
        <f aca="false">IF($R97="","",$L97-$R97)</f>
        <v/>
      </c>
      <c r="T97" s="40" t="str">
        <f aca="false">IF(OR($S97="",N($L97)=0),"",$S97/$L97)</f>
        <v/>
      </c>
      <c r="U97" s="41" t="str">
        <f aca="false">IF(OR($L97="",NOT(ISNUMBER($O97))),"",IF(設定!$C$16-$X97&lt;=0,"設定を確認",MAX((設定!$C$8*設定!$C$4*(1-設定!$C$10)+$Y97+N($D97)+N($E97)+$O97+$Q97-N($G97)*設定!$C$4*設定!$C$16)/(設定!$C$4*(設定!$C$16-$X97)),(設定!$C$8*設定!$C$4*(1-設定!$C$10)+$Y97+N($D97)+N($E97)+$O97+$Q97+設定!$C$13-N($G97)*設定!$C$4*設定!$C$15)/(設定!$C$4*(設定!$C$15-$X97)))))</f>
        <v/>
      </c>
      <c r="V97" s="42" t="str">
        <f aca="false">IF($L97="","",IF(NOT(ISNUMBER($O97)),"要確認：重量が送料表の範囲外",IF(AND($T97&gt;=設定!$C$12,$S97&gt;=設定!$C$13,N($J97)&gt;=設定!$C$14),"◎ 出品候補",IF(AND($T97&gt;=設定!$C$12,$S97&gt;=設定!$C$13),"△ 利益OK・販売実績が不足","× 見送り"))))</f>
        <v/>
      </c>
      <c r="W97" s="3"/>
      <c r="X97" s="43" t="str">
        <f aca="false">IF($H97="","",INDEX(設定!$C$20:$C$23,MATCH($H97,設定!$A$20:$A$23,0)))</f>
        <v/>
      </c>
      <c r="Y97" s="44" t="str">
        <f aca="false">IF($H97="","",INDEX(設定!$D$20:$D$23,MATCH($H97,設定!$A$20:$A$23,0))+INDEX(設定!$E$20:$E$23,MATCH($H97,設定!$A$20:$A$23,0)))</f>
        <v/>
      </c>
    </row>
    <row r="98" customFormat="false" ht="15" hidden="false" customHeight="false" outlineLevel="0" collapsed="false">
      <c r="A98" s="34" t="n">
        <v>94</v>
      </c>
      <c r="B98" s="3"/>
      <c r="C98" s="3"/>
      <c r="D98" s="36"/>
      <c r="E98" s="36"/>
      <c r="F98" s="37"/>
      <c r="G98" s="37"/>
      <c r="H98" s="35"/>
      <c r="I98" s="36"/>
      <c r="J98" s="36"/>
      <c r="K98" s="3"/>
      <c r="L98" s="38" t="str">
        <f aca="false">IF(AND($D98&lt;&gt;"",$F98&lt;&gt;"",$H98&lt;&gt;"",$I98&lt;&gt;""),($F98+N($G98))*設定!$C$4,"")</f>
        <v/>
      </c>
      <c r="M98" s="38" t="str">
        <f aca="false">IF($L98="","",(($F98+N($G98))*(設定!$C$6+設定!$C$7+設定!$C$9)+設定!$C$8)*設定!$C$4)</f>
        <v/>
      </c>
      <c r="N98" s="38" t="str">
        <f aca="false">IF($L98="","",($L98-$M98)*設定!$C$10)</f>
        <v/>
      </c>
      <c r="O98" s="38" t="str">
        <f aca="false">IF($L98="","",IF($I98&gt;MAX(送料表!$B$5:$B$18),"範囲外",INDEX(送料表!$C$5:$F$18,MATCH($I98,送料表!$A$5:$A$18,1),MATCH($H98,送料表!$C$4:$F$4,0))))</f>
        <v/>
      </c>
      <c r="P98" s="38" t="str">
        <f aca="false">IF($L98="","",$F98*設定!$C$4*$X98+$Y98)</f>
        <v/>
      </c>
      <c r="Q98" s="38" t="str">
        <f aca="false">IF($L98="","",設定!$C$11)</f>
        <v/>
      </c>
      <c r="R98" s="38" t="str">
        <f aca="false">IF(OR($L98="",NOT(ISNUMBER($O98))),"",N($D98)+N($E98)+$M98+$N98+$O98+$P98+$Q98)</f>
        <v/>
      </c>
      <c r="S98" s="39" t="str">
        <f aca="false">IF($R98="","",$L98-$R98)</f>
        <v/>
      </c>
      <c r="T98" s="40" t="str">
        <f aca="false">IF(OR($S98="",N($L98)=0),"",$S98/$L98)</f>
        <v/>
      </c>
      <c r="U98" s="41" t="str">
        <f aca="false">IF(OR($L98="",NOT(ISNUMBER($O98))),"",IF(設定!$C$16-$X98&lt;=0,"設定を確認",MAX((設定!$C$8*設定!$C$4*(1-設定!$C$10)+$Y98+N($D98)+N($E98)+$O98+$Q98-N($G98)*設定!$C$4*設定!$C$16)/(設定!$C$4*(設定!$C$16-$X98)),(設定!$C$8*設定!$C$4*(1-設定!$C$10)+$Y98+N($D98)+N($E98)+$O98+$Q98+設定!$C$13-N($G98)*設定!$C$4*設定!$C$15)/(設定!$C$4*(設定!$C$15-$X98)))))</f>
        <v/>
      </c>
      <c r="V98" s="42" t="str">
        <f aca="false">IF($L98="","",IF(NOT(ISNUMBER($O98)),"要確認：重量が送料表の範囲外",IF(AND($T98&gt;=設定!$C$12,$S98&gt;=設定!$C$13,N($J98)&gt;=設定!$C$14),"◎ 出品候補",IF(AND($T98&gt;=設定!$C$12,$S98&gt;=設定!$C$13),"△ 利益OK・販売実績が不足","× 見送り"))))</f>
        <v/>
      </c>
      <c r="W98" s="3"/>
      <c r="X98" s="43" t="str">
        <f aca="false">IF($H98="","",INDEX(設定!$C$20:$C$23,MATCH($H98,設定!$A$20:$A$23,0)))</f>
        <v/>
      </c>
      <c r="Y98" s="44" t="str">
        <f aca="false">IF($H98="","",INDEX(設定!$D$20:$D$23,MATCH($H98,設定!$A$20:$A$23,0))+INDEX(設定!$E$20:$E$23,MATCH($H98,設定!$A$20:$A$23,0)))</f>
        <v/>
      </c>
    </row>
    <row r="99" customFormat="false" ht="15" hidden="false" customHeight="false" outlineLevel="0" collapsed="false">
      <c r="A99" s="34" t="n">
        <v>95</v>
      </c>
      <c r="B99" s="3"/>
      <c r="C99" s="3"/>
      <c r="D99" s="36"/>
      <c r="E99" s="36"/>
      <c r="F99" s="37"/>
      <c r="G99" s="37"/>
      <c r="H99" s="35"/>
      <c r="I99" s="36"/>
      <c r="J99" s="36"/>
      <c r="K99" s="3"/>
      <c r="L99" s="38" t="str">
        <f aca="false">IF(AND($D99&lt;&gt;"",$F99&lt;&gt;"",$H99&lt;&gt;"",$I99&lt;&gt;""),($F99+N($G99))*設定!$C$4,"")</f>
        <v/>
      </c>
      <c r="M99" s="38" t="str">
        <f aca="false">IF($L99="","",(($F99+N($G99))*(設定!$C$6+設定!$C$7+設定!$C$9)+設定!$C$8)*設定!$C$4)</f>
        <v/>
      </c>
      <c r="N99" s="38" t="str">
        <f aca="false">IF($L99="","",($L99-$M99)*設定!$C$10)</f>
        <v/>
      </c>
      <c r="O99" s="38" t="str">
        <f aca="false">IF($L99="","",IF($I99&gt;MAX(送料表!$B$5:$B$18),"範囲外",INDEX(送料表!$C$5:$F$18,MATCH($I99,送料表!$A$5:$A$18,1),MATCH($H99,送料表!$C$4:$F$4,0))))</f>
        <v/>
      </c>
      <c r="P99" s="38" t="str">
        <f aca="false">IF($L99="","",$F99*設定!$C$4*$X99+$Y99)</f>
        <v/>
      </c>
      <c r="Q99" s="38" t="str">
        <f aca="false">IF($L99="","",設定!$C$11)</f>
        <v/>
      </c>
      <c r="R99" s="38" t="str">
        <f aca="false">IF(OR($L99="",NOT(ISNUMBER($O99))),"",N($D99)+N($E99)+$M99+$N99+$O99+$P99+$Q99)</f>
        <v/>
      </c>
      <c r="S99" s="39" t="str">
        <f aca="false">IF($R99="","",$L99-$R99)</f>
        <v/>
      </c>
      <c r="T99" s="40" t="str">
        <f aca="false">IF(OR($S99="",N($L99)=0),"",$S99/$L99)</f>
        <v/>
      </c>
      <c r="U99" s="41" t="str">
        <f aca="false">IF(OR($L99="",NOT(ISNUMBER($O99))),"",IF(設定!$C$16-$X99&lt;=0,"設定を確認",MAX((設定!$C$8*設定!$C$4*(1-設定!$C$10)+$Y99+N($D99)+N($E99)+$O99+$Q99-N($G99)*設定!$C$4*設定!$C$16)/(設定!$C$4*(設定!$C$16-$X99)),(設定!$C$8*設定!$C$4*(1-設定!$C$10)+$Y99+N($D99)+N($E99)+$O99+$Q99+設定!$C$13-N($G99)*設定!$C$4*設定!$C$15)/(設定!$C$4*(設定!$C$15-$X99)))))</f>
        <v/>
      </c>
      <c r="V99" s="42" t="str">
        <f aca="false">IF($L99="","",IF(NOT(ISNUMBER($O99)),"要確認：重量が送料表の範囲外",IF(AND($T99&gt;=設定!$C$12,$S99&gt;=設定!$C$13,N($J99)&gt;=設定!$C$14),"◎ 出品候補",IF(AND($T99&gt;=設定!$C$12,$S99&gt;=設定!$C$13),"△ 利益OK・販売実績が不足","× 見送り"))))</f>
        <v/>
      </c>
      <c r="W99" s="3"/>
      <c r="X99" s="43" t="str">
        <f aca="false">IF($H99="","",INDEX(設定!$C$20:$C$23,MATCH($H99,設定!$A$20:$A$23,0)))</f>
        <v/>
      </c>
      <c r="Y99" s="44" t="str">
        <f aca="false">IF($H99="","",INDEX(設定!$D$20:$D$23,MATCH($H99,設定!$A$20:$A$23,0))+INDEX(設定!$E$20:$E$23,MATCH($H99,設定!$A$20:$A$23,0)))</f>
        <v/>
      </c>
    </row>
    <row r="100" customFormat="false" ht="15" hidden="false" customHeight="false" outlineLevel="0" collapsed="false">
      <c r="A100" s="34" t="n">
        <v>96</v>
      </c>
      <c r="B100" s="3"/>
      <c r="C100" s="3"/>
      <c r="D100" s="36"/>
      <c r="E100" s="36"/>
      <c r="F100" s="37"/>
      <c r="G100" s="37"/>
      <c r="H100" s="35"/>
      <c r="I100" s="36"/>
      <c r="J100" s="36"/>
      <c r="K100" s="3"/>
      <c r="L100" s="38" t="str">
        <f aca="false">IF(AND($D100&lt;&gt;"",$F100&lt;&gt;"",$H100&lt;&gt;"",$I100&lt;&gt;""),($F100+N($G100))*設定!$C$4,"")</f>
        <v/>
      </c>
      <c r="M100" s="38" t="str">
        <f aca="false">IF($L100="","",(($F100+N($G100))*(設定!$C$6+設定!$C$7+設定!$C$9)+設定!$C$8)*設定!$C$4)</f>
        <v/>
      </c>
      <c r="N100" s="38" t="str">
        <f aca="false">IF($L100="","",($L100-$M100)*設定!$C$10)</f>
        <v/>
      </c>
      <c r="O100" s="38" t="str">
        <f aca="false">IF($L100="","",IF($I100&gt;MAX(送料表!$B$5:$B$18),"範囲外",INDEX(送料表!$C$5:$F$18,MATCH($I100,送料表!$A$5:$A$18,1),MATCH($H100,送料表!$C$4:$F$4,0))))</f>
        <v/>
      </c>
      <c r="P100" s="38" t="str">
        <f aca="false">IF($L100="","",$F100*設定!$C$4*$X100+$Y100)</f>
        <v/>
      </c>
      <c r="Q100" s="38" t="str">
        <f aca="false">IF($L100="","",設定!$C$11)</f>
        <v/>
      </c>
      <c r="R100" s="38" t="str">
        <f aca="false">IF(OR($L100="",NOT(ISNUMBER($O100))),"",N($D100)+N($E100)+$M100+$N100+$O100+$P100+$Q100)</f>
        <v/>
      </c>
      <c r="S100" s="39" t="str">
        <f aca="false">IF($R100="","",$L100-$R100)</f>
        <v/>
      </c>
      <c r="T100" s="40" t="str">
        <f aca="false">IF(OR($S100="",N($L100)=0),"",$S100/$L100)</f>
        <v/>
      </c>
      <c r="U100" s="41" t="str">
        <f aca="false">IF(OR($L100="",NOT(ISNUMBER($O100))),"",IF(設定!$C$16-$X100&lt;=0,"設定を確認",MAX((設定!$C$8*設定!$C$4*(1-設定!$C$10)+$Y100+N($D100)+N($E100)+$O100+$Q100-N($G100)*設定!$C$4*設定!$C$16)/(設定!$C$4*(設定!$C$16-$X100)),(設定!$C$8*設定!$C$4*(1-設定!$C$10)+$Y100+N($D100)+N($E100)+$O100+$Q100+設定!$C$13-N($G100)*設定!$C$4*設定!$C$15)/(設定!$C$4*(設定!$C$15-$X100)))))</f>
        <v/>
      </c>
      <c r="V100" s="42" t="str">
        <f aca="false">IF($L100="","",IF(NOT(ISNUMBER($O100)),"要確認：重量が送料表の範囲外",IF(AND($T100&gt;=設定!$C$12,$S100&gt;=設定!$C$13,N($J100)&gt;=設定!$C$14),"◎ 出品候補",IF(AND($T100&gt;=設定!$C$12,$S100&gt;=設定!$C$13),"△ 利益OK・販売実績が不足","× 見送り"))))</f>
        <v/>
      </c>
      <c r="W100" s="3"/>
      <c r="X100" s="43" t="str">
        <f aca="false">IF($H100="","",INDEX(設定!$C$20:$C$23,MATCH($H100,設定!$A$20:$A$23,0)))</f>
        <v/>
      </c>
      <c r="Y100" s="44" t="str">
        <f aca="false">IF($H100="","",INDEX(設定!$D$20:$D$23,MATCH($H100,設定!$A$20:$A$23,0))+INDEX(設定!$E$20:$E$23,MATCH($H100,設定!$A$20:$A$23,0)))</f>
        <v/>
      </c>
    </row>
    <row r="101" customFormat="false" ht="15" hidden="false" customHeight="false" outlineLevel="0" collapsed="false">
      <c r="A101" s="34" t="n">
        <v>97</v>
      </c>
      <c r="B101" s="3"/>
      <c r="C101" s="3"/>
      <c r="D101" s="36"/>
      <c r="E101" s="36"/>
      <c r="F101" s="37"/>
      <c r="G101" s="37"/>
      <c r="H101" s="35"/>
      <c r="I101" s="36"/>
      <c r="J101" s="36"/>
      <c r="K101" s="3"/>
      <c r="L101" s="38" t="str">
        <f aca="false">IF(AND($D101&lt;&gt;"",$F101&lt;&gt;"",$H101&lt;&gt;"",$I101&lt;&gt;""),($F101+N($G101))*設定!$C$4,"")</f>
        <v/>
      </c>
      <c r="M101" s="38" t="str">
        <f aca="false">IF($L101="","",(($F101+N($G101))*(設定!$C$6+設定!$C$7+設定!$C$9)+設定!$C$8)*設定!$C$4)</f>
        <v/>
      </c>
      <c r="N101" s="38" t="str">
        <f aca="false">IF($L101="","",($L101-$M101)*設定!$C$10)</f>
        <v/>
      </c>
      <c r="O101" s="38" t="str">
        <f aca="false">IF($L101="","",IF($I101&gt;MAX(送料表!$B$5:$B$18),"範囲外",INDEX(送料表!$C$5:$F$18,MATCH($I101,送料表!$A$5:$A$18,1),MATCH($H101,送料表!$C$4:$F$4,0))))</f>
        <v/>
      </c>
      <c r="P101" s="38" t="str">
        <f aca="false">IF($L101="","",$F101*設定!$C$4*$X101+$Y101)</f>
        <v/>
      </c>
      <c r="Q101" s="38" t="str">
        <f aca="false">IF($L101="","",設定!$C$11)</f>
        <v/>
      </c>
      <c r="R101" s="38" t="str">
        <f aca="false">IF(OR($L101="",NOT(ISNUMBER($O101))),"",N($D101)+N($E101)+$M101+$N101+$O101+$P101+$Q101)</f>
        <v/>
      </c>
      <c r="S101" s="39" t="str">
        <f aca="false">IF($R101="","",$L101-$R101)</f>
        <v/>
      </c>
      <c r="T101" s="40" t="str">
        <f aca="false">IF(OR($S101="",N($L101)=0),"",$S101/$L101)</f>
        <v/>
      </c>
      <c r="U101" s="41" t="str">
        <f aca="false">IF(OR($L101="",NOT(ISNUMBER($O101))),"",IF(設定!$C$16-$X101&lt;=0,"設定を確認",MAX((設定!$C$8*設定!$C$4*(1-設定!$C$10)+$Y101+N($D101)+N($E101)+$O101+$Q101-N($G101)*設定!$C$4*設定!$C$16)/(設定!$C$4*(設定!$C$16-$X101)),(設定!$C$8*設定!$C$4*(1-設定!$C$10)+$Y101+N($D101)+N($E101)+$O101+$Q101+設定!$C$13-N($G101)*設定!$C$4*設定!$C$15)/(設定!$C$4*(設定!$C$15-$X101)))))</f>
        <v/>
      </c>
      <c r="V101" s="42" t="str">
        <f aca="false">IF($L101="","",IF(NOT(ISNUMBER($O101)),"要確認：重量が送料表の範囲外",IF(AND($T101&gt;=設定!$C$12,$S101&gt;=設定!$C$13,N($J101)&gt;=設定!$C$14),"◎ 出品候補",IF(AND($T101&gt;=設定!$C$12,$S101&gt;=設定!$C$13),"△ 利益OK・販売実績が不足","× 見送り"))))</f>
        <v/>
      </c>
      <c r="W101" s="3"/>
      <c r="X101" s="43" t="str">
        <f aca="false">IF($H101="","",INDEX(設定!$C$20:$C$23,MATCH($H101,設定!$A$20:$A$23,0)))</f>
        <v/>
      </c>
      <c r="Y101" s="44" t="str">
        <f aca="false">IF($H101="","",INDEX(設定!$D$20:$D$23,MATCH($H101,設定!$A$20:$A$23,0))+INDEX(設定!$E$20:$E$23,MATCH($H101,設定!$A$20:$A$23,0)))</f>
        <v/>
      </c>
    </row>
    <row r="102" customFormat="false" ht="15" hidden="false" customHeight="false" outlineLevel="0" collapsed="false">
      <c r="A102" s="34" t="n">
        <v>98</v>
      </c>
      <c r="B102" s="3"/>
      <c r="C102" s="3"/>
      <c r="D102" s="36"/>
      <c r="E102" s="36"/>
      <c r="F102" s="37"/>
      <c r="G102" s="37"/>
      <c r="H102" s="35"/>
      <c r="I102" s="36"/>
      <c r="J102" s="36"/>
      <c r="K102" s="3"/>
      <c r="L102" s="38" t="str">
        <f aca="false">IF(AND($D102&lt;&gt;"",$F102&lt;&gt;"",$H102&lt;&gt;"",$I102&lt;&gt;""),($F102+N($G102))*設定!$C$4,"")</f>
        <v/>
      </c>
      <c r="M102" s="38" t="str">
        <f aca="false">IF($L102="","",(($F102+N($G102))*(設定!$C$6+設定!$C$7+設定!$C$9)+設定!$C$8)*設定!$C$4)</f>
        <v/>
      </c>
      <c r="N102" s="38" t="str">
        <f aca="false">IF($L102="","",($L102-$M102)*設定!$C$10)</f>
        <v/>
      </c>
      <c r="O102" s="38" t="str">
        <f aca="false">IF($L102="","",IF($I102&gt;MAX(送料表!$B$5:$B$18),"範囲外",INDEX(送料表!$C$5:$F$18,MATCH($I102,送料表!$A$5:$A$18,1),MATCH($H102,送料表!$C$4:$F$4,0))))</f>
        <v/>
      </c>
      <c r="P102" s="38" t="str">
        <f aca="false">IF($L102="","",$F102*設定!$C$4*$X102+$Y102)</f>
        <v/>
      </c>
      <c r="Q102" s="38" t="str">
        <f aca="false">IF($L102="","",設定!$C$11)</f>
        <v/>
      </c>
      <c r="R102" s="38" t="str">
        <f aca="false">IF(OR($L102="",NOT(ISNUMBER($O102))),"",N($D102)+N($E102)+$M102+$N102+$O102+$P102+$Q102)</f>
        <v/>
      </c>
      <c r="S102" s="39" t="str">
        <f aca="false">IF($R102="","",$L102-$R102)</f>
        <v/>
      </c>
      <c r="T102" s="40" t="str">
        <f aca="false">IF(OR($S102="",N($L102)=0),"",$S102/$L102)</f>
        <v/>
      </c>
      <c r="U102" s="41" t="str">
        <f aca="false">IF(OR($L102="",NOT(ISNUMBER($O102))),"",IF(設定!$C$16-$X102&lt;=0,"設定を確認",MAX((設定!$C$8*設定!$C$4*(1-設定!$C$10)+$Y102+N($D102)+N($E102)+$O102+$Q102-N($G102)*設定!$C$4*設定!$C$16)/(設定!$C$4*(設定!$C$16-$X102)),(設定!$C$8*設定!$C$4*(1-設定!$C$10)+$Y102+N($D102)+N($E102)+$O102+$Q102+設定!$C$13-N($G102)*設定!$C$4*設定!$C$15)/(設定!$C$4*(設定!$C$15-$X102)))))</f>
        <v/>
      </c>
      <c r="V102" s="42" t="str">
        <f aca="false">IF($L102="","",IF(NOT(ISNUMBER($O102)),"要確認：重量が送料表の範囲外",IF(AND($T102&gt;=設定!$C$12,$S102&gt;=設定!$C$13,N($J102)&gt;=設定!$C$14),"◎ 出品候補",IF(AND($T102&gt;=設定!$C$12,$S102&gt;=設定!$C$13),"△ 利益OK・販売実績が不足","× 見送り"))))</f>
        <v/>
      </c>
      <c r="W102" s="3"/>
      <c r="X102" s="43" t="str">
        <f aca="false">IF($H102="","",INDEX(設定!$C$20:$C$23,MATCH($H102,設定!$A$20:$A$23,0)))</f>
        <v/>
      </c>
      <c r="Y102" s="44" t="str">
        <f aca="false">IF($H102="","",INDEX(設定!$D$20:$D$23,MATCH($H102,設定!$A$20:$A$23,0))+INDEX(設定!$E$20:$E$23,MATCH($H102,設定!$A$20:$A$23,0)))</f>
        <v/>
      </c>
    </row>
    <row r="103" customFormat="false" ht="15" hidden="false" customHeight="false" outlineLevel="0" collapsed="false">
      <c r="A103" s="34" t="n">
        <v>99</v>
      </c>
      <c r="B103" s="3"/>
      <c r="C103" s="3"/>
      <c r="D103" s="36"/>
      <c r="E103" s="36"/>
      <c r="F103" s="37"/>
      <c r="G103" s="37"/>
      <c r="H103" s="35"/>
      <c r="I103" s="36"/>
      <c r="J103" s="36"/>
      <c r="K103" s="3"/>
      <c r="L103" s="38" t="str">
        <f aca="false">IF(AND($D103&lt;&gt;"",$F103&lt;&gt;"",$H103&lt;&gt;"",$I103&lt;&gt;""),($F103+N($G103))*設定!$C$4,"")</f>
        <v/>
      </c>
      <c r="M103" s="38" t="str">
        <f aca="false">IF($L103="","",(($F103+N($G103))*(設定!$C$6+設定!$C$7+設定!$C$9)+設定!$C$8)*設定!$C$4)</f>
        <v/>
      </c>
      <c r="N103" s="38" t="str">
        <f aca="false">IF($L103="","",($L103-$M103)*設定!$C$10)</f>
        <v/>
      </c>
      <c r="O103" s="38" t="str">
        <f aca="false">IF($L103="","",IF($I103&gt;MAX(送料表!$B$5:$B$18),"範囲外",INDEX(送料表!$C$5:$F$18,MATCH($I103,送料表!$A$5:$A$18,1),MATCH($H103,送料表!$C$4:$F$4,0))))</f>
        <v/>
      </c>
      <c r="P103" s="38" t="str">
        <f aca="false">IF($L103="","",$F103*設定!$C$4*$X103+$Y103)</f>
        <v/>
      </c>
      <c r="Q103" s="38" t="str">
        <f aca="false">IF($L103="","",設定!$C$11)</f>
        <v/>
      </c>
      <c r="R103" s="38" t="str">
        <f aca="false">IF(OR($L103="",NOT(ISNUMBER($O103))),"",N($D103)+N($E103)+$M103+$N103+$O103+$P103+$Q103)</f>
        <v/>
      </c>
      <c r="S103" s="39" t="str">
        <f aca="false">IF($R103="","",$L103-$R103)</f>
        <v/>
      </c>
      <c r="T103" s="40" t="str">
        <f aca="false">IF(OR($S103="",N($L103)=0),"",$S103/$L103)</f>
        <v/>
      </c>
      <c r="U103" s="41" t="str">
        <f aca="false">IF(OR($L103="",NOT(ISNUMBER($O103))),"",IF(設定!$C$16-$X103&lt;=0,"設定を確認",MAX((設定!$C$8*設定!$C$4*(1-設定!$C$10)+$Y103+N($D103)+N($E103)+$O103+$Q103-N($G103)*設定!$C$4*設定!$C$16)/(設定!$C$4*(設定!$C$16-$X103)),(設定!$C$8*設定!$C$4*(1-設定!$C$10)+$Y103+N($D103)+N($E103)+$O103+$Q103+設定!$C$13-N($G103)*設定!$C$4*設定!$C$15)/(設定!$C$4*(設定!$C$15-$X103)))))</f>
        <v/>
      </c>
      <c r="V103" s="42" t="str">
        <f aca="false">IF($L103="","",IF(NOT(ISNUMBER($O103)),"要確認：重量が送料表の範囲外",IF(AND($T103&gt;=設定!$C$12,$S103&gt;=設定!$C$13,N($J103)&gt;=設定!$C$14),"◎ 出品候補",IF(AND($T103&gt;=設定!$C$12,$S103&gt;=設定!$C$13),"△ 利益OK・販売実績が不足","× 見送り"))))</f>
        <v/>
      </c>
      <c r="W103" s="3"/>
      <c r="X103" s="43" t="str">
        <f aca="false">IF($H103="","",INDEX(設定!$C$20:$C$23,MATCH($H103,設定!$A$20:$A$23,0)))</f>
        <v/>
      </c>
      <c r="Y103" s="44" t="str">
        <f aca="false">IF($H103="","",INDEX(設定!$D$20:$D$23,MATCH($H103,設定!$A$20:$A$23,0))+INDEX(設定!$E$20:$E$23,MATCH($H103,設定!$A$20:$A$23,0)))</f>
        <v/>
      </c>
    </row>
    <row r="104" customFormat="false" ht="15" hidden="false" customHeight="false" outlineLevel="0" collapsed="false">
      <c r="A104" s="34" t="n">
        <v>100</v>
      </c>
      <c r="B104" s="3"/>
      <c r="C104" s="3"/>
      <c r="D104" s="36"/>
      <c r="E104" s="36"/>
      <c r="F104" s="37"/>
      <c r="G104" s="37"/>
      <c r="H104" s="35"/>
      <c r="I104" s="36"/>
      <c r="J104" s="36"/>
      <c r="K104" s="3"/>
      <c r="L104" s="38" t="str">
        <f aca="false">IF(AND($D104&lt;&gt;"",$F104&lt;&gt;"",$H104&lt;&gt;"",$I104&lt;&gt;""),($F104+N($G104))*設定!$C$4,"")</f>
        <v/>
      </c>
      <c r="M104" s="38" t="str">
        <f aca="false">IF($L104="","",(($F104+N($G104))*(設定!$C$6+設定!$C$7+設定!$C$9)+設定!$C$8)*設定!$C$4)</f>
        <v/>
      </c>
      <c r="N104" s="38" t="str">
        <f aca="false">IF($L104="","",($L104-$M104)*設定!$C$10)</f>
        <v/>
      </c>
      <c r="O104" s="38" t="str">
        <f aca="false">IF($L104="","",IF($I104&gt;MAX(送料表!$B$5:$B$18),"範囲外",INDEX(送料表!$C$5:$F$18,MATCH($I104,送料表!$A$5:$A$18,1),MATCH($H104,送料表!$C$4:$F$4,0))))</f>
        <v/>
      </c>
      <c r="P104" s="38" t="str">
        <f aca="false">IF($L104="","",$F104*設定!$C$4*$X104+$Y104)</f>
        <v/>
      </c>
      <c r="Q104" s="38" t="str">
        <f aca="false">IF($L104="","",設定!$C$11)</f>
        <v/>
      </c>
      <c r="R104" s="38" t="str">
        <f aca="false">IF(OR($L104="",NOT(ISNUMBER($O104))),"",N($D104)+N($E104)+$M104+$N104+$O104+$P104+$Q104)</f>
        <v/>
      </c>
      <c r="S104" s="39" t="str">
        <f aca="false">IF($R104="","",$L104-$R104)</f>
        <v/>
      </c>
      <c r="T104" s="40" t="str">
        <f aca="false">IF(OR($S104="",N($L104)=0),"",$S104/$L104)</f>
        <v/>
      </c>
      <c r="U104" s="41" t="str">
        <f aca="false">IF(OR($L104="",NOT(ISNUMBER($O104))),"",IF(設定!$C$16-$X104&lt;=0,"設定を確認",MAX((設定!$C$8*設定!$C$4*(1-設定!$C$10)+$Y104+N($D104)+N($E104)+$O104+$Q104-N($G104)*設定!$C$4*設定!$C$16)/(設定!$C$4*(設定!$C$16-$X104)),(設定!$C$8*設定!$C$4*(1-設定!$C$10)+$Y104+N($D104)+N($E104)+$O104+$Q104+設定!$C$13-N($G104)*設定!$C$4*設定!$C$15)/(設定!$C$4*(設定!$C$15-$X104)))))</f>
        <v/>
      </c>
      <c r="V104" s="42" t="str">
        <f aca="false">IF($L104="","",IF(NOT(ISNUMBER($O104)),"要確認：重量が送料表の範囲外",IF(AND($T104&gt;=設定!$C$12,$S104&gt;=設定!$C$13,N($J104)&gt;=設定!$C$14),"◎ 出品候補",IF(AND($T104&gt;=設定!$C$12,$S104&gt;=設定!$C$13),"△ 利益OK・販売実績が不足","× 見送り"))))</f>
        <v/>
      </c>
      <c r="W104" s="3"/>
      <c r="X104" s="43" t="str">
        <f aca="false">IF($H104="","",INDEX(設定!$C$20:$C$23,MATCH($H104,設定!$A$20:$A$23,0)))</f>
        <v/>
      </c>
      <c r="Y104" s="44" t="str">
        <f aca="false">IF($H104="","",INDEX(設定!$D$20:$D$23,MATCH($H104,設定!$A$20:$A$23,0))+INDEX(設定!$E$20:$E$23,MATCH($H104,設定!$A$20:$A$23,0)))</f>
        <v/>
      </c>
    </row>
  </sheetData>
  <autoFilter ref="A4:W104"/>
  <conditionalFormatting sqref="V5:V104">
    <cfRule type="expression" priority="2" aboveAverage="0" equalAverage="0" bottom="0" percent="0" rank="0" text="" dxfId="8">
      <formula>LEFT($V5,1)="◎"</formula>
    </cfRule>
    <cfRule type="expression" priority="3" aboveAverage="0" equalAverage="0" bottom="0" percent="0" rank="0" text="" dxfId="9">
      <formula>LEFT($V5,1)="△"</formula>
    </cfRule>
    <cfRule type="expression" priority="4" aboveAverage="0" equalAverage="0" bottom="0" percent="0" rank="0" text="" dxfId="10">
      <formula>OR(LEFT($V5,1)="×",LEFT($V5,1)="要")</formula>
    </cfRule>
  </conditionalFormatting>
  <dataValidations count="2">
    <dataValidation allowBlank="true" error="US / UK / DE / AU から選んでください。" errorStyle="stop" errorTitle="発送先" operator="between" showDropDown="false" showErrorMessage="true" showInputMessage="false" sqref="H5:H104" type="list">
      <formula1>設定!$A$20:$A$23</formula1>
      <formula2>0</formula2>
    </dataValidation>
    <dataValidation allowBlank="true" errorStyle="stop" operator="between" showDropDown="false" showErrorMessage="false" showInputMessage="false" sqref="K5:K104" type="list">
      <formula1>設定!$A$26:$A$35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7" min="6" style="0" width="26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36"/>
  </cols>
  <sheetData>
    <row r="1" customFormat="false" ht="19.4" hidden="false" customHeight="false" outlineLevel="0" collapsed="false">
      <c r="A1" s="8" t="s">
        <v>131</v>
      </c>
    </row>
    <row r="2" customFormat="false" ht="15" hidden="false" customHeight="false" outlineLevel="0" collapsed="false">
      <c r="A2" s="45" t="s">
        <v>132</v>
      </c>
    </row>
    <row r="4" customFormat="false" ht="39.75" hidden="false" customHeight="true" outlineLevel="0" collapsed="false">
      <c r="A4" s="30" t="s">
        <v>103</v>
      </c>
      <c r="B4" s="10" t="s">
        <v>133</v>
      </c>
      <c r="C4" s="30" t="s">
        <v>134</v>
      </c>
      <c r="D4" s="10" t="s">
        <v>135</v>
      </c>
      <c r="E4" s="10" t="s">
        <v>136</v>
      </c>
      <c r="F4" s="10" t="s">
        <v>137</v>
      </c>
      <c r="G4" s="10" t="s">
        <v>138</v>
      </c>
      <c r="H4" s="10" t="s">
        <v>139</v>
      </c>
      <c r="I4" s="10" t="s">
        <v>140</v>
      </c>
      <c r="J4" s="10" t="s">
        <v>141</v>
      </c>
    </row>
    <row r="5" customFormat="false" ht="45" hidden="false" customHeight="true" outlineLevel="0" collapsed="false">
      <c r="A5" s="46" t="n">
        <v>1</v>
      </c>
      <c r="B5" s="47" t="s">
        <v>142</v>
      </c>
      <c r="C5" s="48" t="s">
        <v>143</v>
      </c>
      <c r="D5" s="49" t="n">
        <v>2500</v>
      </c>
      <c r="E5" s="47" t="s">
        <v>144</v>
      </c>
      <c r="F5" s="47" t="s">
        <v>145</v>
      </c>
      <c r="G5" s="47" t="s">
        <v>146</v>
      </c>
      <c r="H5" s="47" t="s">
        <v>147</v>
      </c>
      <c r="I5" s="47" t="s">
        <v>148</v>
      </c>
      <c r="J5" s="47" t="s">
        <v>149</v>
      </c>
    </row>
    <row r="6" customFormat="false" ht="45" hidden="false" customHeight="true" outlineLevel="0" collapsed="false">
      <c r="A6" s="46" t="n">
        <v>2</v>
      </c>
      <c r="B6" s="47"/>
      <c r="C6" s="47"/>
      <c r="D6" s="49"/>
      <c r="E6" s="47"/>
      <c r="F6" s="47"/>
      <c r="G6" s="47"/>
      <c r="H6" s="47"/>
      <c r="I6" s="47"/>
      <c r="J6" s="47"/>
    </row>
    <row r="7" customFormat="false" ht="45" hidden="false" customHeight="true" outlineLevel="0" collapsed="false">
      <c r="A7" s="46" t="n">
        <v>3</v>
      </c>
      <c r="B7" s="47"/>
      <c r="C7" s="47"/>
      <c r="D7" s="49"/>
      <c r="E7" s="47"/>
      <c r="F7" s="47"/>
      <c r="G7" s="47"/>
      <c r="H7" s="47"/>
      <c r="I7" s="47"/>
      <c r="J7" s="47"/>
    </row>
    <row r="8" customFormat="false" ht="45" hidden="false" customHeight="true" outlineLevel="0" collapsed="false">
      <c r="A8" s="46" t="n">
        <v>4</v>
      </c>
      <c r="B8" s="47"/>
      <c r="C8" s="47"/>
      <c r="D8" s="49"/>
      <c r="E8" s="47"/>
      <c r="F8" s="47"/>
      <c r="G8" s="47"/>
      <c r="H8" s="47"/>
      <c r="I8" s="47"/>
      <c r="J8" s="47"/>
    </row>
    <row r="9" customFormat="false" ht="45" hidden="false" customHeight="true" outlineLevel="0" collapsed="false">
      <c r="A9" s="46" t="n">
        <v>5</v>
      </c>
      <c r="B9" s="47"/>
      <c r="C9" s="47"/>
      <c r="D9" s="49"/>
      <c r="E9" s="47"/>
      <c r="F9" s="47"/>
      <c r="G9" s="47"/>
      <c r="H9" s="47"/>
      <c r="I9" s="47"/>
      <c r="J9" s="47"/>
    </row>
    <row r="10" customFormat="false" ht="45" hidden="false" customHeight="true" outlineLevel="0" collapsed="false">
      <c r="A10" s="46" t="n">
        <v>6</v>
      </c>
      <c r="B10" s="47"/>
      <c r="C10" s="47"/>
      <c r="D10" s="49"/>
      <c r="E10" s="47"/>
      <c r="F10" s="47"/>
      <c r="G10" s="47"/>
      <c r="H10" s="47"/>
      <c r="I10" s="47"/>
      <c r="J10" s="47"/>
    </row>
    <row r="11" customFormat="false" ht="45" hidden="false" customHeight="true" outlineLevel="0" collapsed="false">
      <c r="A11" s="46" t="n">
        <v>7</v>
      </c>
      <c r="B11" s="47"/>
      <c r="C11" s="47"/>
      <c r="D11" s="49"/>
      <c r="E11" s="47"/>
      <c r="F11" s="47"/>
      <c r="G11" s="47"/>
      <c r="H11" s="47"/>
      <c r="I11" s="47"/>
      <c r="J11" s="47"/>
    </row>
    <row r="12" customFormat="false" ht="45" hidden="false" customHeight="true" outlineLevel="0" collapsed="false">
      <c r="A12" s="46" t="n">
        <v>8</v>
      </c>
      <c r="B12" s="47"/>
      <c r="C12" s="47"/>
      <c r="D12" s="49"/>
      <c r="E12" s="47"/>
      <c r="F12" s="47"/>
      <c r="G12" s="47"/>
      <c r="H12" s="47"/>
      <c r="I12" s="47"/>
      <c r="J12" s="47"/>
    </row>
    <row r="13" customFormat="false" ht="45" hidden="false" customHeight="true" outlineLevel="0" collapsed="false">
      <c r="A13" s="46" t="n">
        <v>9</v>
      </c>
      <c r="B13" s="47"/>
      <c r="C13" s="47"/>
      <c r="D13" s="49"/>
      <c r="E13" s="47"/>
      <c r="F13" s="47"/>
      <c r="G13" s="47"/>
      <c r="H13" s="47"/>
      <c r="I13" s="47"/>
      <c r="J13" s="47"/>
    </row>
    <row r="14" customFormat="false" ht="45" hidden="false" customHeight="true" outlineLevel="0" collapsed="false">
      <c r="A14" s="46" t="n">
        <v>10</v>
      </c>
      <c r="B14" s="47"/>
      <c r="C14" s="47"/>
      <c r="D14" s="49"/>
      <c r="E14" s="47"/>
      <c r="F14" s="47"/>
      <c r="G14" s="47"/>
      <c r="H14" s="47"/>
      <c r="I14" s="47"/>
      <c r="J14" s="47"/>
    </row>
    <row r="16" customFormat="false" ht="15" hidden="false" customHeight="false" outlineLevel="0" collapsed="false">
      <c r="A16" s="24" t="s">
        <v>150</v>
      </c>
    </row>
    <row r="17" customFormat="false" ht="30" hidden="false" customHeight="true" outlineLevel="0" collapsed="false">
      <c r="A17" s="50" t="s">
        <v>151</v>
      </c>
      <c r="B17" s="50"/>
      <c r="C17" s="50"/>
      <c r="D17" s="48"/>
      <c r="E17" s="48"/>
      <c r="F17" s="48"/>
      <c r="G17" s="48"/>
      <c r="H17" s="48"/>
      <c r="I17" s="48"/>
      <c r="J17" s="48"/>
    </row>
    <row r="18" customFormat="false" ht="30" hidden="false" customHeight="true" outlineLevel="0" collapsed="false">
      <c r="A18" s="50" t="s">
        <v>152</v>
      </c>
      <c r="B18" s="50"/>
      <c r="C18" s="50"/>
      <c r="D18" s="48"/>
      <c r="E18" s="48"/>
      <c r="F18" s="48"/>
      <c r="G18" s="48"/>
      <c r="H18" s="48"/>
      <c r="I18" s="48"/>
      <c r="J18" s="48"/>
    </row>
    <row r="19" customFormat="false" ht="30" hidden="false" customHeight="true" outlineLevel="0" collapsed="false">
      <c r="A19" s="50" t="s">
        <v>153</v>
      </c>
      <c r="B19" s="50"/>
      <c r="C19" s="50"/>
      <c r="D19" s="48"/>
      <c r="E19" s="48"/>
      <c r="F19" s="48"/>
      <c r="G19" s="48"/>
      <c r="H19" s="48"/>
      <c r="I19" s="48"/>
      <c r="J19" s="48"/>
    </row>
    <row r="20" customFormat="false" ht="30" hidden="false" customHeight="true" outlineLevel="0" collapsed="false">
      <c r="A20" s="50" t="s">
        <v>154</v>
      </c>
      <c r="B20" s="50"/>
      <c r="C20" s="50"/>
      <c r="D20" s="48"/>
      <c r="E20" s="48"/>
      <c r="F20" s="48"/>
      <c r="G20" s="48"/>
      <c r="H20" s="48"/>
      <c r="I20" s="48"/>
      <c r="J20" s="48"/>
    </row>
  </sheetData>
  <mergeCells count="8">
    <mergeCell ref="A17:C17"/>
    <mergeCell ref="D17:J17"/>
    <mergeCell ref="A18:C18"/>
    <mergeCell ref="D18:J18"/>
    <mergeCell ref="A19:C19"/>
    <mergeCell ref="D19:J19"/>
    <mergeCell ref="A20:C20"/>
    <mergeCell ref="D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34"/>
    <col collapsed="false" customWidth="true" hidden="false" outlineLevel="0" max="11" min="11" style="0" width="3"/>
    <col collapsed="false" customWidth="true" hidden="false" outlineLevel="0" max="14" min="12" style="0" width="22"/>
  </cols>
  <sheetData>
    <row r="1" customFormat="false" ht="17.35" hidden="false" customHeight="false" outlineLevel="0" collapsed="false">
      <c r="A1" s="8" t="s">
        <v>155</v>
      </c>
    </row>
    <row r="2" customFormat="false" ht="15" hidden="false" customHeight="false" outlineLevel="0" collapsed="false">
      <c r="A2" s="45" t="s">
        <v>156</v>
      </c>
    </row>
    <row r="4" customFormat="false" ht="39.75" hidden="false" customHeight="true" outlineLevel="0" collapsed="false">
      <c r="A4" s="30" t="s">
        <v>103</v>
      </c>
      <c r="B4" s="10" t="s">
        <v>157</v>
      </c>
      <c r="C4" s="10" t="s">
        <v>158</v>
      </c>
      <c r="D4" s="10" t="s">
        <v>159</v>
      </c>
      <c r="E4" s="10" t="s">
        <v>160</v>
      </c>
      <c r="F4" s="10" t="s">
        <v>161</v>
      </c>
      <c r="G4" s="10" t="s">
        <v>162</v>
      </c>
      <c r="H4" s="10" t="s">
        <v>112</v>
      </c>
      <c r="I4" s="10" t="s">
        <v>163</v>
      </c>
      <c r="J4" s="10" t="s">
        <v>125</v>
      </c>
      <c r="L4" s="24" t="s">
        <v>164</v>
      </c>
    </row>
    <row r="5" customFormat="false" ht="30" hidden="false" customHeight="true" outlineLevel="0" collapsed="false">
      <c r="A5" s="34" t="n">
        <v>1</v>
      </c>
      <c r="B5" s="3" t="s">
        <v>165</v>
      </c>
      <c r="C5" s="3" t="s">
        <v>84</v>
      </c>
      <c r="D5" s="3" t="s">
        <v>166</v>
      </c>
      <c r="E5" s="3" t="s">
        <v>167</v>
      </c>
      <c r="F5" s="3" t="s">
        <v>168</v>
      </c>
      <c r="G5" s="35" t="s">
        <v>169</v>
      </c>
      <c r="H5" s="36" t="n">
        <v>4</v>
      </c>
      <c r="I5" s="35" t="s">
        <v>169</v>
      </c>
      <c r="J5" s="3"/>
      <c r="L5" s="51" t="s">
        <v>170</v>
      </c>
      <c r="M5" s="51" t="s">
        <v>171</v>
      </c>
      <c r="N5" s="51" t="s">
        <v>172</v>
      </c>
    </row>
    <row r="6" customFormat="false" ht="15" hidden="false" customHeight="false" outlineLevel="0" collapsed="false">
      <c r="A6" s="34" t="n">
        <v>2</v>
      </c>
      <c r="B6" s="3" t="s">
        <v>165</v>
      </c>
      <c r="C6" s="3" t="s">
        <v>84</v>
      </c>
      <c r="D6" s="3" t="s">
        <v>173</v>
      </c>
      <c r="E6" s="3" t="s">
        <v>174</v>
      </c>
      <c r="F6" s="3" t="s">
        <v>175</v>
      </c>
      <c r="G6" s="35" t="s">
        <v>169</v>
      </c>
      <c r="H6" s="36" t="n">
        <v>6</v>
      </c>
      <c r="I6" s="35" t="s">
        <v>169</v>
      </c>
      <c r="J6" s="3"/>
      <c r="L6" s="4" t="s">
        <v>176</v>
      </c>
      <c r="M6" s="4" t="s">
        <v>177</v>
      </c>
      <c r="N6" s="4" t="s">
        <v>178</v>
      </c>
    </row>
    <row r="7" customFormat="false" ht="15" hidden="false" customHeight="false" outlineLevel="0" collapsed="false">
      <c r="A7" s="34" t="n">
        <v>3</v>
      </c>
      <c r="B7" s="3" t="s">
        <v>165</v>
      </c>
      <c r="C7" s="3" t="s">
        <v>84</v>
      </c>
      <c r="D7" s="3" t="s">
        <v>179</v>
      </c>
      <c r="E7" s="3" t="s">
        <v>180</v>
      </c>
      <c r="F7" s="3" t="s">
        <v>181</v>
      </c>
      <c r="G7" s="35" t="s">
        <v>182</v>
      </c>
      <c r="H7" s="36" t="n">
        <v>2</v>
      </c>
      <c r="I7" s="35"/>
      <c r="J7" s="3" t="s">
        <v>183</v>
      </c>
      <c r="L7" s="4" t="s">
        <v>184</v>
      </c>
      <c r="M7" s="4" t="s">
        <v>185</v>
      </c>
      <c r="N7" s="4" t="s">
        <v>186</v>
      </c>
    </row>
    <row r="8" customFormat="false" ht="15" hidden="false" customHeight="false" outlineLevel="0" collapsed="false">
      <c r="A8" s="34" t="n">
        <v>4</v>
      </c>
      <c r="B8" s="3"/>
      <c r="C8" s="3"/>
      <c r="D8" s="3"/>
      <c r="E8" s="3"/>
      <c r="F8" s="3"/>
      <c r="G8" s="35"/>
      <c r="H8" s="36"/>
      <c r="I8" s="35"/>
      <c r="J8" s="3"/>
      <c r="L8" s="4" t="s">
        <v>167</v>
      </c>
      <c r="M8" s="4" t="s">
        <v>187</v>
      </c>
      <c r="N8" s="4" t="s">
        <v>188</v>
      </c>
    </row>
    <row r="9" customFormat="false" ht="15" hidden="false" customHeight="false" outlineLevel="0" collapsed="false">
      <c r="A9" s="34" t="n">
        <v>5</v>
      </c>
      <c r="B9" s="3"/>
      <c r="C9" s="3"/>
      <c r="D9" s="3"/>
      <c r="E9" s="3"/>
      <c r="F9" s="3"/>
      <c r="G9" s="35"/>
      <c r="H9" s="36"/>
      <c r="I9" s="35"/>
      <c r="J9" s="3"/>
      <c r="L9" s="4" t="s">
        <v>189</v>
      </c>
      <c r="M9" s="4" t="s">
        <v>190</v>
      </c>
      <c r="N9" s="4" t="s">
        <v>191</v>
      </c>
    </row>
    <row r="10" customFormat="false" ht="15" hidden="false" customHeight="false" outlineLevel="0" collapsed="false">
      <c r="A10" s="34" t="n">
        <v>6</v>
      </c>
      <c r="B10" s="3"/>
      <c r="C10" s="3"/>
      <c r="D10" s="3"/>
      <c r="E10" s="3"/>
      <c r="F10" s="3"/>
      <c r="G10" s="35"/>
      <c r="H10" s="36"/>
      <c r="I10" s="35"/>
      <c r="J10" s="3"/>
      <c r="L10" s="4" t="s">
        <v>192</v>
      </c>
      <c r="M10" s="4" t="s">
        <v>193</v>
      </c>
      <c r="N10" s="4" t="s">
        <v>194</v>
      </c>
    </row>
    <row r="11" customFormat="false" ht="15" hidden="false" customHeight="false" outlineLevel="0" collapsed="false">
      <c r="A11" s="34" t="n">
        <v>7</v>
      </c>
      <c r="B11" s="3"/>
      <c r="C11" s="3"/>
      <c r="D11" s="3"/>
      <c r="E11" s="3"/>
      <c r="F11" s="3"/>
      <c r="G11" s="35"/>
      <c r="H11" s="36"/>
      <c r="I11" s="35"/>
      <c r="J11" s="3"/>
      <c r="L11" s="4" t="s">
        <v>195</v>
      </c>
      <c r="M11" s="4" t="s">
        <v>174</v>
      </c>
      <c r="N11" s="4" t="s">
        <v>196</v>
      </c>
    </row>
    <row r="12" customFormat="false" ht="15" hidden="false" customHeight="false" outlineLevel="0" collapsed="false">
      <c r="A12" s="34" t="n">
        <v>8</v>
      </c>
      <c r="B12" s="3"/>
      <c r="C12" s="3"/>
      <c r="D12" s="3"/>
      <c r="E12" s="3"/>
      <c r="F12" s="3"/>
      <c r="G12" s="35"/>
      <c r="H12" s="36"/>
      <c r="I12" s="35"/>
      <c r="J12" s="3"/>
      <c r="L12" s="4" t="s">
        <v>197</v>
      </c>
      <c r="M12" s="4" t="s">
        <v>198</v>
      </c>
      <c r="N12" s="4" t="s">
        <v>199</v>
      </c>
    </row>
    <row r="13" customFormat="false" ht="15" hidden="false" customHeight="false" outlineLevel="0" collapsed="false">
      <c r="A13" s="34" t="n">
        <v>9</v>
      </c>
      <c r="B13" s="3"/>
      <c r="C13" s="3"/>
      <c r="D13" s="3"/>
      <c r="E13" s="3"/>
      <c r="F13" s="3"/>
      <c r="G13" s="35"/>
      <c r="H13" s="36"/>
      <c r="I13" s="35"/>
      <c r="J13" s="3"/>
      <c r="L13" s="4" t="s">
        <v>200</v>
      </c>
      <c r="M13" s="4" t="s">
        <v>201</v>
      </c>
      <c r="N13" s="4" t="s">
        <v>202</v>
      </c>
    </row>
    <row r="14" customFormat="false" ht="15" hidden="false" customHeight="false" outlineLevel="0" collapsed="false">
      <c r="A14" s="34" t="n">
        <v>10</v>
      </c>
      <c r="B14" s="3"/>
      <c r="C14" s="3"/>
      <c r="D14" s="3"/>
      <c r="E14" s="3"/>
      <c r="F14" s="3"/>
      <c r="G14" s="35"/>
      <c r="H14" s="36"/>
      <c r="I14" s="35"/>
      <c r="J14" s="3"/>
      <c r="N14" s="4" t="s">
        <v>203</v>
      </c>
    </row>
    <row r="15" customFormat="false" ht="15" hidden="false" customHeight="false" outlineLevel="0" collapsed="false">
      <c r="A15" s="34" t="n">
        <v>11</v>
      </c>
      <c r="B15" s="3"/>
      <c r="C15" s="3"/>
      <c r="D15" s="3"/>
      <c r="E15" s="3"/>
      <c r="F15" s="3"/>
      <c r="G15" s="35"/>
      <c r="H15" s="36"/>
      <c r="I15" s="35"/>
      <c r="J15" s="3"/>
      <c r="N15" s="4" t="s">
        <v>204</v>
      </c>
    </row>
    <row r="16" customFormat="false" ht="15" hidden="false" customHeight="false" outlineLevel="0" collapsed="false">
      <c r="A16" s="34" t="n">
        <v>12</v>
      </c>
      <c r="B16" s="3"/>
      <c r="C16" s="3"/>
      <c r="D16" s="3"/>
      <c r="E16" s="3"/>
      <c r="F16" s="3"/>
      <c r="G16" s="35"/>
      <c r="H16" s="36"/>
      <c r="I16" s="35"/>
      <c r="J16" s="3"/>
    </row>
    <row r="17" customFormat="false" ht="15" hidden="false" customHeight="false" outlineLevel="0" collapsed="false">
      <c r="A17" s="34" t="n">
        <v>13</v>
      </c>
      <c r="B17" s="3"/>
      <c r="C17" s="3"/>
      <c r="D17" s="3"/>
      <c r="E17" s="3"/>
      <c r="F17" s="3"/>
      <c r="G17" s="35"/>
      <c r="H17" s="36"/>
      <c r="I17" s="35"/>
      <c r="J17" s="3"/>
    </row>
    <row r="18" customFormat="false" ht="15" hidden="false" customHeight="false" outlineLevel="0" collapsed="false">
      <c r="A18" s="34" t="n">
        <v>14</v>
      </c>
      <c r="B18" s="3"/>
      <c r="C18" s="3"/>
      <c r="D18" s="3"/>
      <c r="E18" s="3"/>
      <c r="F18" s="3"/>
      <c r="G18" s="35"/>
      <c r="H18" s="36"/>
      <c r="I18" s="35"/>
      <c r="J18" s="3"/>
    </row>
    <row r="19" customFormat="false" ht="15" hidden="false" customHeight="false" outlineLevel="0" collapsed="false">
      <c r="A19" s="34" t="n">
        <v>15</v>
      </c>
      <c r="B19" s="3"/>
      <c r="C19" s="3"/>
      <c r="D19" s="3"/>
      <c r="E19" s="3"/>
      <c r="F19" s="3"/>
      <c r="G19" s="35"/>
      <c r="H19" s="36"/>
      <c r="I19" s="35"/>
      <c r="J19" s="3"/>
    </row>
    <row r="20" customFormat="false" ht="15" hidden="false" customHeight="false" outlineLevel="0" collapsed="false">
      <c r="A20" s="34" t="n">
        <v>16</v>
      </c>
      <c r="B20" s="3"/>
      <c r="C20" s="3"/>
      <c r="D20" s="3"/>
      <c r="E20" s="3"/>
      <c r="F20" s="3"/>
      <c r="G20" s="35"/>
      <c r="H20" s="36"/>
      <c r="I20" s="35"/>
      <c r="J20" s="3"/>
    </row>
    <row r="21" customFormat="false" ht="15" hidden="false" customHeight="false" outlineLevel="0" collapsed="false">
      <c r="A21" s="34" t="n">
        <v>17</v>
      </c>
      <c r="B21" s="3"/>
      <c r="C21" s="3"/>
      <c r="D21" s="3"/>
      <c r="E21" s="3"/>
      <c r="F21" s="3"/>
      <c r="G21" s="35"/>
      <c r="H21" s="36"/>
      <c r="I21" s="35"/>
      <c r="J21" s="3"/>
    </row>
    <row r="22" customFormat="false" ht="15" hidden="false" customHeight="false" outlineLevel="0" collapsed="false">
      <c r="A22" s="34" t="n">
        <v>18</v>
      </c>
      <c r="B22" s="3"/>
      <c r="C22" s="3"/>
      <c r="D22" s="3"/>
      <c r="E22" s="3"/>
      <c r="F22" s="3"/>
      <c r="G22" s="35"/>
      <c r="H22" s="36"/>
      <c r="I22" s="35"/>
      <c r="J22" s="3"/>
    </row>
    <row r="23" customFormat="false" ht="15" hidden="false" customHeight="false" outlineLevel="0" collapsed="false">
      <c r="A23" s="34" t="n">
        <v>19</v>
      </c>
      <c r="B23" s="3"/>
      <c r="C23" s="3"/>
      <c r="D23" s="3"/>
      <c r="E23" s="3"/>
      <c r="F23" s="3"/>
      <c r="G23" s="35"/>
      <c r="H23" s="36"/>
      <c r="I23" s="35"/>
      <c r="J23" s="3"/>
    </row>
    <row r="24" customFormat="false" ht="15" hidden="false" customHeight="false" outlineLevel="0" collapsed="false">
      <c r="A24" s="34" t="n">
        <v>20</v>
      </c>
      <c r="B24" s="3"/>
      <c r="C24" s="3"/>
      <c r="D24" s="3"/>
      <c r="E24" s="3"/>
      <c r="F24" s="3"/>
      <c r="G24" s="35"/>
      <c r="H24" s="36"/>
      <c r="I24" s="35"/>
      <c r="J24" s="3"/>
    </row>
    <row r="25" customFormat="false" ht="15" hidden="false" customHeight="false" outlineLevel="0" collapsed="false">
      <c r="A25" s="34" t="n">
        <v>21</v>
      </c>
      <c r="B25" s="3"/>
      <c r="C25" s="3"/>
      <c r="D25" s="3"/>
      <c r="E25" s="3"/>
      <c r="F25" s="3"/>
      <c r="G25" s="35"/>
      <c r="H25" s="36"/>
      <c r="I25" s="35"/>
      <c r="J25" s="3"/>
    </row>
    <row r="26" customFormat="false" ht="15" hidden="false" customHeight="false" outlineLevel="0" collapsed="false">
      <c r="A26" s="34" t="n">
        <v>22</v>
      </c>
      <c r="B26" s="3"/>
      <c r="C26" s="3"/>
      <c r="D26" s="3"/>
      <c r="E26" s="3"/>
      <c r="F26" s="3"/>
      <c r="G26" s="35"/>
      <c r="H26" s="36"/>
      <c r="I26" s="35"/>
      <c r="J26" s="3"/>
    </row>
    <row r="27" customFormat="false" ht="15" hidden="false" customHeight="false" outlineLevel="0" collapsed="false">
      <c r="A27" s="34" t="n">
        <v>23</v>
      </c>
      <c r="B27" s="3"/>
      <c r="C27" s="3"/>
      <c r="D27" s="3"/>
      <c r="E27" s="3"/>
      <c r="F27" s="3"/>
      <c r="G27" s="35"/>
      <c r="H27" s="36"/>
      <c r="I27" s="35"/>
      <c r="J27" s="3"/>
    </row>
    <row r="28" customFormat="false" ht="15" hidden="false" customHeight="false" outlineLevel="0" collapsed="false">
      <c r="A28" s="34" t="n">
        <v>24</v>
      </c>
      <c r="B28" s="3"/>
      <c r="C28" s="3"/>
      <c r="D28" s="3"/>
      <c r="E28" s="3"/>
      <c r="F28" s="3"/>
      <c r="G28" s="35"/>
      <c r="H28" s="36"/>
      <c r="I28" s="35"/>
      <c r="J28" s="3"/>
    </row>
    <row r="29" customFormat="false" ht="15" hidden="false" customHeight="false" outlineLevel="0" collapsed="false">
      <c r="A29" s="34" t="n">
        <v>25</v>
      </c>
      <c r="B29" s="3"/>
      <c r="C29" s="3"/>
      <c r="D29" s="3"/>
      <c r="E29" s="3"/>
      <c r="F29" s="3"/>
      <c r="G29" s="35"/>
      <c r="H29" s="36"/>
      <c r="I29" s="35"/>
      <c r="J29" s="3"/>
    </row>
    <row r="30" customFormat="false" ht="15" hidden="false" customHeight="false" outlineLevel="0" collapsed="false">
      <c r="A30" s="34" t="n">
        <v>26</v>
      </c>
      <c r="B30" s="3"/>
      <c r="C30" s="3"/>
      <c r="D30" s="3"/>
      <c r="E30" s="3"/>
      <c r="F30" s="3"/>
      <c r="G30" s="35"/>
      <c r="H30" s="36"/>
      <c r="I30" s="35"/>
      <c r="J30" s="3"/>
    </row>
    <row r="31" customFormat="false" ht="15" hidden="false" customHeight="false" outlineLevel="0" collapsed="false">
      <c r="A31" s="34" t="n">
        <v>27</v>
      </c>
      <c r="B31" s="3"/>
      <c r="C31" s="3"/>
      <c r="D31" s="3"/>
      <c r="E31" s="3"/>
      <c r="F31" s="3"/>
      <c r="G31" s="35"/>
      <c r="H31" s="36"/>
      <c r="I31" s="35"/>
      <c r="J31" s="3"/>
    </row>
    <row r="32" customFormat="false" ht="15" hidden="false" customHeight="false" outlineLevel="0" collapsed="false">
      <c r="A32" s="34" t="n">
        <v>28</v>
      </c>
      <c r="B32" s="3"/>
      <c r="C32" s="3"/>
      <c r="D32" s="3"/>
      <c r="E32" s="3"/>
      <c r="F32" s="3"/>
      <c r="G32" s="35"/>
      <c r="H32" s="36"/>
      <c r="I32" s="35"/>
      <c r="J32" s="3"/>
    </row>
    <row r="33" customFormat="false" ht="15" hidden="false" customHeight="false" outlineLevel="0" collapsed="false">
      <c r="A33" s="34" t="n">
        <v>29</v>
      </c>
      <c r="B33" s="3"/>
      <c r="C33" s="3"/>
      <c r="D33" s="3"/>
      <c r="E33" s="3"/>
      <c r="F33" s="3"/>
      <c r="G33" s="35"/>
      <c r="H33" s="36"/>
      <c r="I33" s="35"/>
      <c r="J33" s="3"/>
    </row>
    <row r="34" customFormat="false" ht="15" hidden="false" customHeight="false" outlineLevel="0" collapsed="false">
      <c r="A34" s="34" t="n">
        <v>30</v>
      </c>
      <c r="B34" s="3"/>
      <c r="C34" s="3"/>
      <c r="D34" s="3"/>
      <c r="E34" s="3"/>
      <c r="F34" s="3"/>
      <c r="G34" s="35"/>
      <c r="H34" s="36"/>
      <c r="I34" s="35"/>
      <c r="J34" s="3"/>
    </row>
    <row r="35" customFormat="false" ht="15" hidden="false" customHeight="false" outlineLevel="0" collapsed="false">
      <c r="A35" s="34" t="n">
        <v>31</v>
      </c>
      <c r="B35" s="3"/>
      <c r="C35" s="3"/>
      <c r="D35" s="3"/>
      <c r="E35" s="3"/>
      <c r="F35" s="3"/>
      <c r="G35" s="35"/>
      <c r="H35" s="36"/>
      <c r="I35" s="35"/>
      <c r="J35" s="3"/>
    </row>
    <row r="36" customFormat="false" ht="15" hidden="false" customHeight="false" outlineLevel="0" collapsed="false">
      <c r="A36" s="34" t="n">
        <v>32</v>
      </c>
      <c r="B36" s="3"/>
      <c r="C36" s="3"/>
      <c r="D36" s="3"/>
      <c r="E36" s="3"/>
      <c r="F36" s="3"/>
      <c r="G36" s="35"/>
      <c r="H36" s="36"/>
      <c r="I36" s="35"/>
      <c r="J36" s="3"/>
    </row>
    <row r="37" customFormat="false" ht="15" hidden="false" customHeight="false" outlineLevel="0" collapsed="false">
      <c r="A37" s="34" t="n">
        <v>33</v>
      </c>
      <c r="B37" s="3"/>
      <c r="C37" s="3"/>
      <c r="D37" s="3"/>
      <c r="E37" s="3"/>
      <c r="F37" s="3"/>
      <c r="G37" s="35"/>
      <c r="H37" s="36"/>
      <c r="I37" s="35"/>
      <c r="J37" s="3"/>
    </row>
    <row r="38" customFormat="false" ht="15" hidden="false" customHeight="false" outlineLevel="0" collapsed="false">
      <c r="A38" s="34" t="n">
        <v>34</v>
      </c>
      <c r="B38" s="3"/>
      <c r="C38" s="3"/>
      <c r="D38" s="3"/>
      <c r="E38" s="3"/>
      <c r="F38" s="3"/>
      <c r="G38" s="35"/>
      <c r="H38" s="36"/>
      <c r="I38" s="35"/>
      <c r="J38" s="3"/>
    </row>
    <row r="39" customFormat="false" ht="15" hidden="false" customHeight="false" outlineLevel="0" collapsed="false">
      <c r="A39" s="34" t="n">
        <v>35</v>
      </c>
      <c r="B39" s="3"/>
      <c r="C39" s="3"/>
      <c r="D39" s="3"/>
      <c r="E39" s="3"/>
      <c r="F39" s="3"/>
      <c r="G39" s="35"/>
      <c r="H39" s="36"/>
      <c r="I39" s="35"/>
      <c r="J39" s="3"/>
    </row>
    <row r="40" customFormat="false" ht="15" hidden="false" customHeight="false" outlineLevel="0" collapsed="false">
      <c r="A40" s="34" t="n">
        <v>36</v>
      </c>
      <c r="B40" s="3"/>
      <c r="C40" s="3"/>
      <c r="D40" s="3"/>
      <c r="E40" s="3"/>
      <c r="F40" s="3"/>
      <c r="G40" s="35"/>
      <c r="H40" s="36"/>
      <c r="I40" s="35"/>
      <c r="J40" s="3"/>
    </row>
    <row r="41" customFormat="false" ht="15" hidden="false" customHeight="false" outlineLevel="0" collapsed="false">
      <c r="A41" s="34" t="n">
        <v>37</v>
      </c>
      <c r="B41" s="3"/>
      <c r="C41" s="3"/>
      <c r="D41" s="3"/>
      <c r="E41" s="3"/>
      <c r="F41" s="3"/>
      <c r="G41" s="35"/>
      <c r="H41" s="36"/>
      <c r="I41" s="35"/>
      <c r="J41" s="3"/>
    </row>
    <row r="42" customFormat="false" ht="15" hidden="false" customHeight="false" outlineLevel="0" collapsed="false">
      <c r="A42" s="34" t="n">
        <v>38</v>
      </c>
      <c r="B42" s="3"/>
      <c r="C42" s="3"/>
      <c r="D42" s="3"/>
      <c r="E42" s="3"/>
      <c r="F42" s="3"/>
      <c r="G42" s="35"/>
      <c r="H42" s="36"/>
      <c r="I42" s="35"/>
      <c r="J42" s="3"/>
    </row>
    <row r="43" customFormat="false" ht="15" hidden="false" customHeight="false" outlineLevel="0" collapsed="false">
      <c r="A43" s="34" t="n">
        <v>39</v>
      </c>
      <c r="B43" s="3"/>
      <c r="C43" s="3"/>
      <c r="D43" s="3"/>
      <c r="E43" s="3"/>
      <c r="F43" s="3"/>
      <c r="G43" s="35"/>
      <c r="H43" s="36"/>
      <c r="I43" s="35"/>
      <c r="J43" s="3"/>
    </row>
    <row r="44" customFormat="false" ht="15" hidden="false" customHeight="false" outlineLevel="0" collapsed="false">
      <c r="A44" s="34" t="n">
        <v>40</v>
      </c>
      <c r="B44" s="3"/>
      <c r="C44" s="3"/>
      <c r="D44" s="3"/>
      <c r="E44" s="3"/>
      <c r="F44" s="3"/>
      <c r="G44" s="35"/>
      <c r="H44" s="36"/>
      <c r="I44" s="35"/>
      <c r="J44" s="3"/>
    </row>
    <row r="45" customFormat="false" ht="15" hidden="false" customHeight="false" outlineLevel="0" collapsed="false">
      <c r="A45" s="34" t="n">
        <v>41</v>
      </c>
      <c r="B45" s="3"/>
      <c r="C45" s="3"/>
      <c r="D45" s="3"/>
      <c r="E45" s="3"/>
      <c r="F45" s="3"/>
      <c r="G45" s="35"/>
      <c r="H45" s="36"/>
      <c r="I45" s="35"/>
      <c r="J45" s="3"/>
    </row>
    <row r="46" customFormat="false" ht="15" hidden="false" customHeight="false" outlineLevel="0" collapsed="false">
      <c r="A46" s="34" t="n">
        <v>42</v>
      </c>
      <c r="B46" s="3"/>
      <c r="C46" s="3"/>
      <c r="D46" s="3"/>
      <c r="E46" s="3"/>
      <c r="F46" s="3"/>
      <c r="G46" s="35"/>
      <c r="H46" s="36"/>
      <c r="I46" s="35"/>
      <c r="J46" s="3"/>
    </row>
    <row r="47" customFormat="false" ht="15" hidden="false" customHeight="false" outlineLevel="0" collapsed="false">
      <c r="A47" s="34" t="n">
        <v>43</v>
      </c>
      <c r="B47" s="3"/>
      <c r="C47" s="3"/>
      <c r="D47" s="3"/>
      <c r="E47" s="3"/>
      <c r="F47" s="3"/>
      <c r="G47" s="35"/>
      <c r="H47" s="36"/>
      <c r="I47" s="35"/>
      <c r="J47" s="3"/>
    </row>
    <row r="48" customFormat="false" ht="15" hidden="false" customHeight="false" outlineLevel="0" collapsed="false">
      <c r="A48" s="34" t="n">
        <v>44</v>
      </c>
      <c r="B48" s="3"/>
      <c r="C48" s="3"/>
      <c r="D48" s="3"/>
      <c r="E48" s="3"/>
      <c r="F48" s="3"/>
      <c r="G48" s="35"/>
      <c r="H48" s="36"/>
      <c r="I48" s="35"/>
      <c r="J48" s="3"/>
    </row>
    <row r="49" customFormat="false" ht="15" hidden="false" customHeight="false" outlineLevel="0" collapsed="false">
      <c r="A49" s="34" t="n">
        <v>45</v>
      </c>
      <c r="B49" s="3"/>
      <c r="C49" s="3"/>
      <c r="D49" s="3"/>
      <c r="E49" s="3"/>
      <c r="F49" s="3"/>
      <c r="G49" s="35"/>
      <c r="H49" s="36"/>
      <c r="I49" s="35"/>
      <c r="J49" s="3"/>
    </row>
    <row r="50" customFormat="false" ht="15" hidden="false" customHeight="false" outlineLevel="0" collapsed="false">
      <c r="A50" s="34" t="n">
        <v>46</v>
      </c>
      <c r="B50" s="3"/>
      <c r="C50" s="3"/>
      <c r="D50" s="3"/>
      <c r="E50" s="3"/>
      <c r="F50" s="3"/>
      <c r="G50" s="35"/>
      <c r="H50" s="36"/>
      <c r="I50" s="35"/>
      <c r="J50" s="3"/>
    </row>
    <row r="51" customFormat="false" ht="15" hidden="false" customHeight="false" outlineLevel="0" collapsed="false">
      <c r="A51" s="34" t="n">
        <v>47</v>
      </c>
      <c r="B51" s="3"/>
      <c r="C51" s="3"/>
      <c r="D51" s="3"/>
      <c r="E51" s="3"/>
      <c r="F51" s="3"/>
      <c r="G51" s="35"/>
      <c r="H51" s="36"/>
      <c r="I51" s="35"/>
      <c r="J51" s="3"/>
    </row>
    <row r="52" customFormat="false" ht="15" hidden="false" customHeight="false" outlineLevel="0" collapsed="false">
      <c r="A52" s="34" t="n">
        <v>48</v>
      </c>
      <c r="B52" s="3"/>
      <c r="C52" s="3"/>
      <c r="D52" s="3"/>
      <c r="E52" s="3"/>
      <c r="F52" s="3"/>
      <c r="G52" s="35"/>
      <c r="H52" s="36"/>
      <c r="I52" s="35"/>
      <c r="J52" s="3"/>
    </row>
    <row r="53" customFormat="false" ht="15" hidden="false" customHeight="false" outlineLevel="0" collapsed="false">
      <c r="A53" s="34" t="n">
        <v>49</v>
      </c>
      <c r="B53" s="3"/>
      <c r="C53" s="3"/>
      <c r="D53" s="3"/>
      <c r="E53" s="3"/>
      <c r="F53" s="3"/>
      <c r="G53" s="35"/>
      <c r="H53" s="36"/>
      <c r="I53" s="35"/>
      <c r="J53" s="3"/>
    </row>
    <row r="54" customFormat="false" ht="15" hidden="false" customHeight="false" outlineLevel="0" collapsed="false">
      <c r="A54" s="34" t="n">
        <v>50</v>
      </c>
      <c r="B54" s="3"/>
      <c r="C54" s="3"/>
      <c r="D54" s="3"/>
      <c r="E54" s="3"/>
      <c r="F54" s="3"/>
      <c r="G54" s="35"/>
      <c r="H54" s="36"/>
      <c r="I54" s="35"/>
      <c r="J54" s="3"/>
    </row>
    <row r="55" customFormat="false" ht="15" hidden="false" customHeight="false" outlineLevel="0" collapsed="false">
      <c r="A55" s="34" t="n">
        <v>51</v>
      </c>
      <c r="B55" s="3"/>
      <c r="C55" s="3"/>
      <c r="D55" s="3"/>
      <c r="E55" s="3"/>
      <c r="F55" s="3"/>
      <c r="G55" s="35"/>
      <c r="H55" s="36"/>
      <c r="I55" s="35"/>
      <c r="J55" s="3"/>
    </row>
    <row r="56" customFormat="false" ht="15" hidden="false" customHeight="false" outlineLevel="0" collapsed="false">
      <c r="A56" s="34" t="n">
        <v>52</v>
      </c>
      <c r="B56" s="3"/>
      <c r="C56" s="3"/>
      <c r="D56" s="3"/>
      <c r="E56" s="3"/>
      <c r="F56" s="3"/>
      <c r="G56" s="35"/>
      <c r="H56" s="36"/>
      <c r="I56" s="35"/>
      <c r="J56" s="3"/>
    </row>
    <row r="57" customFormat="false" ht="15" hidden="false" customHeight="false" outlineLevel="0" collapsed="false">
      <c r="A57" s="34" t="n">
        <v>53</v>
      </c>
      <c r="B57" s="3"/>
      <c r="C57" s="3"/>
      <c r="D57" s="3"/>
      <c r="E57" s="3"/>
      <c r="F57" s="3"/>
      <c r="G57" s="35"/>
      <c r="H57" s="36"/>
      <c r="I57" s="35"/>
      <c r="J57" s="3"/>
    </row>
    <row r="58" customFormat="false" ht="15" hidden="false" customHeight="false" outlineLevel="0" collapsed="false">
      <c r="A58" s="34" t="n">
        <v>54</v>
      </c>
      <c r="B58" s="3"/>
      <c r="C58" s="3"/>
      <c r="D58" s="3"/>
      <c r="E58" s="3"/>
      <c r="F58" s="3"/>
      <c r="G58" s="35"/>
      <c r="H58" s="36"/>
      <c r="I58" s="35"/>
      <c r="J58" s="3"/>
    </row>
    <row r="59" customFormat="false" ht="15" hidden="false" customHeight="false" outlineLevel="0" collapsed="false">
      <c r="A59" s="34" t="n">
        <v>55</v>
      </c>
      <c r="B59" s="3"/>
      <c r="C59" s="3"/>
      <c r="D59" s="3"/>
      <c r="E59" s="3"/>
      <c r="F59" s="3"/>
      <c r="G59" s="35"/>
      <c r="H59" s="36"/>
      <c r="I59" s="35"/>
      <c r="J59" s="3"/>
    </row>
    <row r="60" customFormat="false" ht="15" hidden="false" customHeight="false" outlineLevel="0" collapsed="false">
      <c r="A60" s="34" t="n">
        <v>56</v>
      </c>
      <c r="B60" s="3"/>
      <c r="C60" s="3"/>
      <c r="D60" s="3"/>
      <c r="E60" s="3"/>
      <c r="F60" s="3"/>
      <c r="G60" s="35"/>
      <c r="H60" s="36"/>
      <c r="I60" s="35"/>
      <c r="J60" s="3"/>
    </row>
    <row r="61" customFormat="false" ht="15" hidden="false" customHeight="false" outlineLevel="0" collapsed="false">
      <c r="A61" s="34" t="n">
        <v>57</v>
      </c>
      <c r="B61" s="3"/>
      <c r="C61" s="3"/>
      <c r="D61" s="3"/>
      <c r="E61" s="3"/>
      <c r="F61" s="3"/>
      <c r="G61" s="35"/>
      <c r="H61" s="36"/>
      <c r="I61" s="35"/>
      <c r="J61" s="3"/>
    </row>
    <row r="62" customFormat="false" ht="15" hidden="false" customHeight="false" outlineLevel="0" collapsed="false">
      <c r="A62" s="34" t="n">
        <v>58</v>
      </c>
      <c r="B62" s="3"/>
      <c r="C62" s="3"/>
      <c r="D62" s="3"/>
      <c r="E62" s="3"/>
      <c r="F62" s="3"/>
      <c r="G62" s="35"/>
      <c r="H62" s="36"/>
      <c r="I62" s="35"/>
      <c r="J62" s="3"/>
    </row>
    <row r="63" customFormat="false" ht="15" hidden="false" customHeight="false" outlineLevel="0" collapsed="false">
      <c r="A63" s="34" t="n">
        <v>59</v>
      </c>
      <c r="B63" s="3"/>
      <c r="C63" s="3"/>
      <c r="D63" s="3"/>
      <c r="E63" s="3"/>
      <c r="F63" s="3"/>
      <c r="G63" s="35"/>
      <c r="H63" s="36"/>
      <c r="I63" s="35"/>
      <c r="J63" s="3"/>
    </row>
    <row r="64" customFormat="false" ht="15" hidden="false" customHeight="false" outlineLevel="0" collapsed="false">
      <c r="A64" s="34" t="n">
        <v>60</v>
      </c>
      <c r="B64" s="3"/>
      <c r="C64" s="3"/>
      <c r="D64" s="3"/>
      <c r="E64" s="3"/>
      <c r="F64" s="3"/>
      <c r="G64" s="35"/>
      <c r="H64" s="36"/>
      <c r="I64" s="35"/>
      <c r="J64" s="3"/>
    </row>
    <row r="65" customFormat="false" ht="15" hidden="false" customHeight="false" outlineLevel="0" collapsed="false">
      <c r="A65" s="34" t="n">
        <v>61</v>
      </c>
      <c r="B65" s="3"/>
      <c r="C65" s="3"/>
      <c r="D65" s="3"/>
      <c r="E65" s="3"/>
      <c r="F65" s="3"/>
      <c r="G65" s="35"/>
      <c r="H65" s="36"/>
      <c r="I65" s="35"/>
      <c r="J65" s="3"/>
    </row>
    <row r="66" customFormat="false" ht="15" hidden="false" customHeight="false" outlineLevel="0" collapsed="false">
      <c r="A66" s="34" t="n">
        <v>62</v>
      </c>
      <c r="B66" s="3"/>
      <c r="C66" s="3"/>
      <c r="D66" s="3"/>
      <c r="E66" s="3"/>
      <c r="F66" s="3"/>
      <c r="G66" s="35"/>
      <c r="H66" s="36"/>
      <c r="I66" s="35"/>
      <c r="J66" s="3"/>
    </row>
    <row r="67" customFormat="false" ht="15" hidden="false" customHeight="false" outlineLevel="0" collapsed="false">
      <c r="A67" s="34" t="n">
        <v>63</v>
      </c>
      <c r="B67" s="3"/>
      <c r="C67" s="3"/>
      <c r="D67" s="3"/>
      <c r="E67" s="3"/>
      <c r="F67" s="3"/>
      <c r="G67" s="35"/>
      <c r="H67" s="36"/>
      <c r="I67" s="35"/>
      <c r="J67" s="3"/>
    </row>
    <row r="68" customFormat="false" ht="15" hidden="false" customHeight="false" outlineLevel="0" collapsed="false">
      <c r="A68" s="34" t="n">
        <v>64</v>
      </c>
      <c r="B68" s="3"/>
      <c r="C68" s="3"/>
      <c r="D68" s="3"/>
      <c r="E68" s="3"/>
      <c r="F68" s="3"/>
      <c r="G68" s="35"/>
      <c r="H68" s="36"/>
      <c r="I68" s="35"/>
      <c r="J68" s="3"/>
    </row>
    <row r="69" customFormat="false" ht="15" hidden="false" customHeight="false" outlineLevel="0" collapsed="false">
      <c r="A69" s="34" t="n">
        <v>65</v>
      </c>
      <c r="B69" s="3"/>
      <c r="C69" s="3"/>
      <c r="D69" s="3"/>
      <c r="E69" s="3"/>
      <c r="F69" s="3"/>
      <c r="G69" s="35"/>
      <c r="H69" s="36"/>
      <c r="I69" s="35"/>
      <c r="J69" s="3"/>
    </row>
    <row r="70" customFormat="false" ht="15" hidden="false" customHeight="false" outlineLevel="0" collapsed="false">
      <c r="A70" s="34" t="n">
        <v>66</v>
      </c>
      <c r="B70" s="3"/>
      <c r="C70" s="3"/>
      <c r="D70" s="3"/>
      <c r="E70" s="3"/>
      <c r="F70" s="3"/>
      <c r="G70" s="35"/>
      <c r="H70" s="36"/>
      <c r="I70" s="35"/>
      <c r="J70" s="3"/>
    </row>
    <row r="71" customFormat="false" ht="15" hidden="false" customHeight="false" outlineLevel="0" collapsed="false">
      <c r="A71" s="34" t="n">
        <v>67</v>
      </c>
      <c r="B71" s="3"/>
      <c r="C71" s="3"/>
      <c r="D71" s="3"/>
      <c r="E71" s="3"/>
      <c r="F71" s="3"/>
      <c r="G71" s="35"/>
      <c r="H71" s="36"/>
      <c r="I71" s="35"/>
      <c r="J71" s="3"/>
    </row>
    <row r="72" customFormat="false" ht="15" hidden="false" customHeight="false" outlineLevel="0" collapsed="false">
      <c r="A72" s="34" t="n">
        <v>68</v>
      </c>
      <c r="B72" s="3"/>
      <c r="C72" s="3"/>
      <c r="D72" s="3"/>
      <c r="E72" s="3"/>
      <c r="F72" s="3"/>
      <c r="G72" s="35"/>
      <c r="H72" s="36"/>
      <c r="I72" s="35"/>
      <c r="J72" s="3"/>
    </row>
    <row r="73" customFormat="false" ht="15" hidden="false" customHeight="false" outlineLevel="0" collapsed="false">
      <c r="A73" s="34" t="n">
        <v>69</v>
      </c>
      <c r="B73" s="3"/>
      <c r="C73" s="3"/>
      <c r="D73" s="3"/>
      <c r="E73" s="3"/>
      <c r="F73" s="3"/>
      <c r="G73" s="35"/>
      <c r="H73" s="36"/>
      <c r="I73" s="35"/>
      <c r="J73" s="3"/>
    </row>
    <row r="74" customFormat="false" ht="15" hidden="false" customHeight="false" outlineLevel="0" collapsed="false">
      <c r="A74" s="34" t="n">
        <v>70</v>
      </c>
      <c r="B74" s="3"/>
      <c r="C74" s="3"/>
      <c r="D74" s="3"/>
      <c r="E74" s="3"/>
      <c r="F74" s="3"/>
      <c r="G74" s="35"/>
      <c r="H74" s="36"/>
      <c r="I74" s="35"/>
      <c r="J74" s="3"/>
    </row>
    <row r="75" customFormat="false" ht="15" hidden="false" customHeight="false" outlineLevel="0" collapsed="false">
      <c r="A75" s="34" t="n">
        <v>71</v>
      </c>
      <c r="B75" s="3"/>
      <c r="C75" s="3"/>
      <c r="D75" s="3"/>
      <c r="E75" s="3"/>
      <c r="F75" s="3"/>
      <c r="G75" s="35"/>
      <c r="H75" s="36"/>
      <c r="I75" s="35"/>
      <c r="J75" s="3"/>
    </row>
    <row r="76" customFormat="false" ht="15" hidden="false" customHeight="false" outlineLevel="0" collapsed="false">
      <c r="A76" s="34" t="n">
        <v>72</v>
      </c>
      <c r="B76" s="3"/>
      <c r="C76" s="3"/>
      <c r="D76" s="3"/>
      <c r="E76" s="3"/>
      <c r="F76" s="3"/>
      <c r="G76" s="35"/>
      <c r="H76" s="36"/>
      <c r="I76" s="35"/>
      <c r="J76" s="3"/>
    </row>
    <row r="77" customFormat="false" ht="15" hidden="false" customHeight="false" outlineLevel="0" collapsed="false">
      <c r="A77" s="34" t="n">
        <v>73</v>
      </c>
      <c r="B77" s="3"/>
      <c r="C77" s="3"/>
      <c r="D77" s="3"/>
      <c r="E77" s="3"/>
      <c r="F77" s="3"/>
      <c r="G77" s="35"/>
      <c r="H77" s="36"/>
      <c r="I77" s="35"/>
      <c r="J77" s="3"/>
    </row>
    <row r="78" customFormat="false" ht="15" hidden="false" customHeight="false" outlineLevel="0" collapsed="false">
      <c r="A78" s="34" t="n">
        <v>74</v>
      </c>
      <c r="B78" s="3"/>
      <c r="C78" s="3"/>
      <c r="D78" s="3"/>
      <c r="E78" s="3"/>
      <c r="F78" s="3"/>
      <c r="G78" s="35"/>
      <c r="H78" s="36"/>
      <c r="I78" s="35"/>
      <c r="J78" s="3"/>
    </row>
    <row r="79" customFormat="false" ht="15" hidden="false" customHeight="false" outlineLevel="0" collapsed="false">
      <c r="A79" s="34" t="n">
        <v>75</v>
      </c>
      <c r="B79" s="3"/>
      <c r="C79" s="3"/>
      <c r="D79" s="3"/>
      <c r="E79" s="3"/>
      <c r="F79" s="3"/>
      <c r="G79" s="35"/>
      <c r="H79" s="36"/>
      <c r="I79" s="35"/>
      <c r="J79" s="3"/>
    </row>
    <row r="80" customFormat="false" ht="15" hidden="false" customHeight="false" outlineLevel="0" collapsed="false">
      <c r="A80" s="34" t="n">
        <v>76</v>
      </c>
      <c r="B80" s="3"/>
      <c r="C80" s="3"/>
      <c r="D80" s="3"/>
      <c r="E80" s="3"/>
      <c r="F80" s="3"/>
      <c r="G80" s="35"/>
      <c r="H80" s="36"/>
      <c r="I80" s="35"/>
      <c r="J80" s="3"/>
    </row>
    <row r="81" customFormat="false" ht="15" hidden="false" customHeight="false" outlineLevel="0" collapsed="false">
      <c r="A81" s="34" t="n">
        <v>77</v>
      </c>
      <c r="B81" s="3"/>
      <c r="C81" s="3"/>
      <c r="D81" s="3"/>
      <c r="E81" s="3"/>
      <c r="F81" s="3"/>
      <c r="G81" s="35"/>
      <c r="H81" s="36"/>
      <c r="I81" s="35"/>
      <c r="J81" s="3"/>
    </row>
    <row r="82" customFormat="false" ht="15" hidden="false" customHeight="false" outlineLevel="0" collapsed="false">
      <c r="A82" s="34" t="n">
        <v>78</v>
      </c>
      <c r="B82" s="3"/>
      <c r="C82" s="3"/>
      <c r="D82" s="3"/>
      <c r="E82" s="3"/>
      <c r="F82" s="3"/>
      <c r="G82" s="35"/>
      <c r="H82" s="36"/>
      <c r="I82" s="35"/>
      <c r="J82" s="3"/>
    </row>
    <row r="83" customFormat="false" ht="15" hidden="false" customHeight="false" outlineLevel="0" collapsed="false">
      <c r="A83" s="34" t="n">
        <v>79</v>
      </c>
      <c r="B83" s="3"/>
      <c r="C83" s="3"/>
      <c r="D83" s="3"/>
      <c r="E83" s="3"/>
      <c r="F83" s="3"/>
      <c r="G83" s="35"/>
      <c r="H83" s="36"/>
      <c r="I83" s="35"/>
      <c r="J83" s="3"/>
    </row>
    <row r="84" customFormat="false" ht="15" hidden="false" customHeight="false" outlineLevel="0" collapsed="false">
      <c r="A84" s="34" t="n">
        <v>80</v>
      </c>
      <c r="B84" s="3"/>
      <c r="C84" s="3"/>
      <c r="D84" s="3"/>
      <c r="E84" s="3"/>
      <c r="F84" s="3"/>
      <c r="G84" s="35"/>
      <c r="H84" s="36"/>
      <c r="I84" s="35"/>
      <c r="J84" s="3"/>
    </row>
    <row r="85" customFormat="false" ht="15" hidden="false" customHeight="false" outlineLevel="0" collapsed="false">
      <c r="A85" s="34" t="n">
        <v>81</v>
      </c>
      <c r="B85" s="3"/>
      <c r="C85" s="3"/>
      <c r="D85" s="3"/>
      <c r="E85" s="3"/>
      <c r="F85" s="3"/>
      <c r="G85" s="35"/>
      <c r="H85" s="36"/>
      <c r="I85" s="35"/>
      <c r="J85" s="3"/>
    </row>
    <row r="86" customFormat="false" ht="15" hidden="false" customHeight="false" outlineLevel="0" collapsed="false">
      <c r="A86" s="34" t="n">
        <v>82</v>
      </c>
      <c r="B86" s="3"/>
      <c r="C86" s="3"/>
      <c r="D86" s="3"/>
      <c r="E86" s="3"/>
      <c r="F86" s="3"/>
      <c r="G86" s="35"/>
      <c r="H86" s="36"/>
      <c r="I86" s="35"/>
      <c r="J86" s="3"/>
    </row>
    <row r="87" customFormat="false" ht="15" hidden="false" customHeight="false" outlineLevel="0" collapsed="false">
      <c r="A87" s="34" t="n">
        <v>83</v>
      </c>
      <c r="B87" s="3"/>
      <c r="C87" s="3"/>
      <c r="D87" s="3"/>
      <c r="E87" s="3"/>
      <c r="F87" s="3"/>
      <c r="G87" s="35"/>
      <c r="H87" s="36"/>
      <c r="I87" s="35"/>
      <c r="J87" s="3"/>
    </row>
    <row r="88" customFormat="false" ht="15" hidden="false" customHeight="false" outlineLevel="0" collapsed="false">
      <c r="A88" s="34" t="n">
        <v>84</v>
      </c>
      <c r="B88" s="3"/>
      <c r="C88" s="3"/>
      <c r="D88" s="3"/>
      <c r="E88" s="3"/>
      <c r="F88" s="3"/>
      <c r="G88" s="35"/>
      <c r="H88" s="36"/>
      <c r="I88" s="35"/>
      <c r="J88" s="3"/>
    </row>
    <row r="89" customFormat="false" ht="15" hidden="false" customHeight="false" outlineLevel="0" collapsed="false">
      <c r="A89" s="34" t="n">
        <v>85</v>
      </c>
      <c r="B89" s="3"/>
      <c r="C89" s="3"/>
      <c r="D89" s="3"/>
      <c r="E89" s="3"/>
      <c r="F89" s="3"/>
      <c r="G89" s="35"/>
      <c r="H89" s="36"/>
      <c r="I89" s="35"/>
      <c r="J89" s="3"/>
    </row>
    <row r="90" customFormat="false" ht="15" hidden="false" customHeight="false" outlineLevel="0" collapsed="false">
      <c r="A90" s="34" t="n">
        <v>86</v>
      </c>
      <c r="B90" s="3"/>
      <c r="C90" s="3"/>
      <c r="D90" s="3"/>
      <c r="E90" s="3"/>
      <c r="F90" s="3"/>
      <c r="G90" s="35"/>
      <c r="H90" s="36"/>
      <c r="I90" s="35"/>
      <c r="J90" s="3"/>
    </row>
    <row r="91" customFormat="false" ht="15" hidden="false" customHeight="false" outlineLevel="0" collapsed="false">
      <c r="A91" s="34" t="n">
        <v>87</v>
      </c>
      <c r="B91" s="3"/>
      <c r="C91" s="3"/>
      <c r="D91" s="3"/>
      <c r="E91" s="3"/>
      <c r="F91" s="3"/>
      <c r="G91" s="35"/>
      <c r="H91" s="36"/>
      <c r="I91" s="35"/>
      <c r="J91" s="3"/>
    </row>
    <row r="92" customFormat="false" ht="15" hidden="false" customHeight="false" outlineLevel="0" collapsed="false">
      <c r="A92" s="34" t="n">
        <v>88</v>
      </c>
      <c r="B92" s="3"/>
      <c r="C92" s="3"/>
      <c r="D92" s="3"/>
      <c r="E92" s="3"/>
      <c r="F92" s="3"/>
      <c r="G92" s="35"/>
      <c r="H92" s="36"/>
      <c r="I92" s="35"/>
      <c r="J92" s="3"/>
    </row>
    <row r="93" customFormat="false" ht="15" hidden="false" customHeight="false" outlineLevel="0" collapsed="false">
      <c r="A93" s="34" t="n">
        <v>89</v>
      </c>
      <c r="B93" s="3"/>
      <c r="C93" s="3"/>
      <c r="D93" s="3"/>
      <c r="E93" s="3"/>
      <c r="F93" s="3"/>
      <c r="G93" s="35"/>
      <c r="H93" s="36"/>
      <c r="I93" s="35"/>
      <c r="J93" s="3"/>
    </row>
    <row r="94" customFormat="false" ht="15" hidden="false" customHeight="false" outlineLevel="0" collapsed="false">
      <c r="A94" s="34" t="n">
        <v>90</v>
      </c>
      <c r="B94" s="3"/>
      <c r="C94" s="3"/>
      <c r="D94" s="3"/>
      <c r="E94" s="3"/>
      <c r="F94" s="3"/>
      <c r="G94" s="35"/>
      <c r="H94" s="36"/>
      <c r="I94" s="35"/>
      <c r="J94" s="3"/>
    </row>
    <row r="95" customFormat="false" ht="15" hidden="false" customHeight="false" outlineLevel="0" collapsed="false">
      <c r="A95" s="34" t="n">
        <v>91</v>
      </c>
      <c r="B95" s="3"/>
      <c r="C95" s="3"/>
      <c r="D95" s="3"/>
      <c r="E95" s="3"/>
      <c r="F95" s="3"/>
      <c r="G95" s="35"/>
      <c r="H95" s="36"/>
      <c r="I95" s="35"/>
      <c r="J95" s="3"/>
    </row>
    <row r="96" customFormat="false" ht="15" hidden="false" customHeight="false" outlineLevel="0" collapsed="false">
      <c r="A96" s="34" t="n">
        <v>92</v>
      </c>
      <c r="B96" s="3"/>
      <c r="C96" s="3"/>
      <c r="D96" s="3"/>
      <c r="E96" s="3"/>
      <c r="F96" s="3"/>
      <c r="G96" s="35"/>
      <c r="H96" s="36"/>
      <c r="I96" s="35"/>
      <c r="J96" s="3"/>
    </row>
    <row r="97" customFormat="false" ht="15" hidden="false" customHeight="false" outlineLevel="0" collapsed="false">
      <c r="A97" s="34" t="n">
        <v>93</v>
      </c>
      <c r="B97" s="3"/>
      <c r="C97" s="3"/>
      <c r="D97" s="3"/>
      <c r="E97" s="3"/>
      <c r="F97" s="3"/>
      <c r="G97" s="35"/>
      <c r="H97" s="36"/>
      <c r="I97" s="35"/>
      <c r="J97" s="3"/>
    </row>
    <row r="98" customFormat="false" ht="15" hidden="false" customHeight="false" outlineLevel="0" collapsed="false">
      <c r="A98" s="34" t="n">
        <v>94</v>
      </c>
      <c r="B98" s="3"/>
      <c r="C98" s="3"/>
      <c r="D98" s="3"/>
      <c r="E98" s="3"/>
      <c r="F98" s="3"/>
      <c r="G98" s="35"/>
      <c r="H98" s="36"/>
      <c r="I98" s="35"/>
      <c r="J98" s="3"/>
    </row>
    <row r="99" customFormat="false" ht="15" hidden="false" customHeight="false" outlineLevel="0" collapsed="false">
      <c r="A99" s="34" t="n">
        <v>95</v>
      </c>
      <c r="B99" s="3"/>
      <c r="C99" s="3"/>
      <c r="D99" s="3"/>
      <c r="E99" s="3"/>
      <c r="F99" s="3"/>
      <c r="G99" s="35"/>
      <c r="H99" s="36"/>
      <c r="I99" s="35"/>
      <c r="J99" s="3"/>
    </row>
    <row r="100" customFormat="false" ht="15" hidden="false" customHeight="false" outlineLevel="0" collapsed="false">
      <c r="A100" s="34" t="n">
        <v>96</v>
      </c>
      <c r="B100" s="3"/>
      <c r="C100" s="3"/>
      <c r="D100" s="3"/>
      <c r="E100" s="3"/>
      <c r="F100" s="3"/>
      <c r="G100" s="35"/>
      <c r="H100" s="36"/>
      <c r="I100" s="35"/>
      <c r="J100" s="3"/>
    </row>
    <row r="101" customFormat="false" ht="15" hidden="false" customHeight="false" outlineLevel="0" collapsed="false">
      <c r="A101" s="34" t="n">
        <v>97</v>
      </c>
      <c r="B101" s="3"/>
      <c r="C101" s="3"/>
      <c r="D101" s="3"/>
      <c r="E101" s="3"/>
      <c r="F101" s="3"/>
      <c r="G101" s="35"/>
      <c r="H101" s="36"/>
      <c r="I101" s="35"/>
      <c r="J101" s="3"/>
    </row>
    <row r="102" customFormat="false" ht="15" hidden="false" customHeight="false" outlineLevel="0" collapsed="false">
      <c r="A102" s="34" t="n">
        <v>98</v>
      </c>
      <c r="B102" s="3"/>
      <c r="C102" s="3"/>
      <c r="D102" s="3"/>
      <c r="E102" s="3"/>
      <c r="F102" s="3"/>
      <c r="G102" s="35"/>
      <c r="H102" s="36"/>
      <c r="I102" s="35"/>
      <c r="J102" s="3"/>
    </row>
    <row r="103" customFormat="false" ht="15" hidden="false" customHeight="false" outlineLevel="0" collapsed="false">
      <c r="A103" s="34" t="n">
        <v>99</v>
      </c>
      <c r="B103" s="3"/>
      <c r="C103" s="3"/>
      <c r="D103" s="3"/>
      <c r="E103" s="3"/>
      <c r="F103" s="3"/>
      <c r="G103" s="35"/>
      <c r="H103" s="36"/>
      <c r="I103" s="35"/>
      <c r="J103" s="3"/>
    </row>
    <row r="104" customFormat="false" ht="15" hidden="false" customHeight="false" outlineLevel="0" collapsed="false">
      <c r="A104" s="34" t="n">
        <v>100</v>
      </c>
      <c r="B104" s="3"/>
      <c r="C104" s="3"/>
      <c r="D104" s="3"/>
      <c r="E104" s="3"/>
      <c r="F104" s="3"/>
      <c r="G104" s="35"/>
      <c r="H104" s="36"/>
      <c r="I104" s="35"/>
      <c r="J104" s="3"/>
    </row>
    <row r="105" customFormat="false" ht="15" hidden="false" customHeight="false" outlineLevel="0" collapsed="false">
      <c r="A105" s="34" t="n">
        <v>101</v>
      </c>
      <c r="B105" s="3"/>
      <c r="C105" s="3"/>
      <c r="D105" s="3"/>
      <c r="E105" s="3"/>
      <c r="F105" s="3"/>
      <c r="G105" s="35"/>
      <c r="H105" s="36"/>
      <c r="I105" s="35"/>
      <c r="J105" s="3"/>
    </row>
    <row r="106" customFormat="false" ht="15" hidden="false" customHeight="false" outlineLevel="0" collapsed="false">
      <c r="A106" s="34" t="n">
        <v>102</v>
      </c>
      <c r="B106" s="3"/>
      <c r="C106" s="3"/>
      <c r="D106" s="3"/>
      <c r="E106" s="3"/>
      <c r="F106" s="3"/>
      <c r="G106" s="35"/>
      <c r="H106" s="36"/>
      <c r="I106" s="35"/>
      <c r="J106" s="3"/>
    </row>
    <row r="107" customFormat="false" ht="15" hidden="false" customHeight="false" outlineLevel="0" collapsed="false">
      <c r="A107" s="34" t="n">
        <v>103</v>
      </c>
      <c r="B107" s="3"/>
      <c r="C107" s="3"/>
      <c r="D107" s="3"/>
      <c r="E107" s="3"/>
      <c r="F107" s="3"/>
      <c r="G107" s="35"/>
      <c r="H107" s="36"/>
      <c r="I107" s="35"/>
      <c r="J107" s="3"/>
    </row>
    <row r="108" customFormat="false" ht="15" hidden="false" customHeight="false" outlineLevel="0" collapsed="false">
      <c r="A108" s="34" t="n">
        <v>104</v>
      </c>
      <c r="B108" s="3"/>
      <c r="C108" s="3"/>
      <c r="D108" s="3"/>
      <c r="E108" s="3"/>
      <c r="F108" s="3"/>
      <c r="G108" s="35"/>
      <c r="H108" s="36"/>
      <c r="I108" s="35"/>
      <c r="J108" s="3"/>
    </row>
    <row r="109" customFormat="false" ht="15" hidden="false" customHeight="false" outlineLevel="0" collapsed="false">
      <c r="A109" s="34" t="n">
        <v>105</v>
      </c>
      <c r="B109" s="3"/>
      <c r="C109" s="3"/>
      <c r="D109" s="3"/>
      <c r="E109" s="3"/>
      <c r="F109" s="3"/>
      <c r="G109" s="35"/>
      <c r="H109" s="36"/>
      <c r="I109" s="35"/>
      <c r="J109" s="3"/>
    </row>
    <row r="110" customFormat="false" ht="15" hidden="false" customHeight="false" outlineLevel="0" collapsed="false">
      <c r="A110" s="34" t="n">
        <v>106</v>
      </c>
      <c r="B110" s="3"/>
      <c r="C110" s="3"/>
      <c r="D110" s="3"/>
      <c r="E110" s="3"/>
      <c r="F110" s="3"/>
      <c r="G110" s="35"/>
      <c r="H110" s="36"/>
      <c r="I110" s="35"/>
      <c r="J110" s="3"/>
    </row>
    <row r="111" customFormat="false" ht="15" hidden="false" customHeight="false" outlineLevel="0" collapsed="false">
      <c r="A111" s="34" t="n">
        <v>107</v>
      </c>
      <c r="B111" s="3"/>
      <c r="C111" s="3"/>
      <c r="D111" s="3"/>
      <c r="E111" s="3"/>
      <c r="F111" s="3"/>
      <c r="G111" s="35"/>
      <c r="H111" s="36"/>
      <c r="I111" s="35"/>
      <c r="J111" s="3"/>
    </row>
    <row r="112" customFormat="false" ht="15" hidden="false" customHeight="false" outlineLevel="0" collapsed="false">
      <c r="A112" s="34" t="n">
        <v>108</v>
      </c>
      <c r="B112" s="3"/>
      <c r="C112" s="3"/>
      <c r="D112" s="3"/>
      <c r="E112" s="3"/>
      <c r="F112" s="3"/>
      <c r="G112" s="35"/>
      <c r="H112" s="36"/>
      <c r="I112" s="35"/>
      <c r="J112" s="3"/>
    </row>
    <row r="113" customFormat="false" ht="15" hidden="false" customHeight="false" outlineLevel="0" collapsed="false">
      <c r="A113" s="34" t="n">
        <v>109</v>
      </c>
      <c r="B113" s="3"/>
      <c r="C113" s="3"/>
      <c r="D113" s="3"/>
      <c r="E113" s="3"/>
      <c r="F113" s="3"/>
      <c r="G113" s="35"/>
      <c r="H113" s="36"/>
      <c r="I113" s="35"/>
      <c r="J113" s="3"/>
    </row>
    <row r="114" customFormat="false" ht="15" hidden="false" customHeight="false" outlineLevel="0" collapsed="false">
      <c r="A114" s="34" t="n">
        <v>110</v>
      </c>
      <c r="B114" s="3"/>
      <c r="C114" s="3"/>
      <c r="D114" s="3"/>
      <c r="E114" s="3"/>
      <c r="F114" s="3"/>
      <c r="G114" s="35"/>
      <c r="H114" s="36"/>
      <c r="I114" s="35"/>
      <c r="J114" s="3"/>
    </row>
    <row r="115" customFormat="false" ht="15" hidden="false" customHeight="false" outlineLevel="0" collapsed="false">
      <c r="A115" s="34" t="n">
        <v>111</v>
      </c>
      <c r="B115" s="3"/>
      <c r="C115" s="3"/>
      <c r="D115" s="3"/>
      <c r="E115" s="3"/>
      <c r="F115" s="3"/>
      <c r="G115" s="35"/>
      <c r="H115" s="36"/>
      <c r="I115" s="35"/>
      <c r="J115" s="3"/>
    </row>
    <row r="116" customFormat="false" ht="15" hidden="false" customHeight="false" outlineLevel="0" collapsed="false">
      <c r="A116" s="34" t="n">
        <v>112</v>
      </c>
      <c r="B116" s="3"/>
      <c r="C116" s="3"/>
      <c r="D116" s="3"/>
      <c r="E116" s="3"/>
      <c r="F116" s="3"/>
      <c r="G116" s="35"/>
      <c r="H116" s="36"/>
      <c r="I116" s="35"/>
      <c r="J116" s="3"/>
    </row>
    <row r="117" customFormat="false" ht="15" hidden="false" customHeight="false" outlineLevel="0" collapsed="false">
      <c r="A117" s="34" t="n">
        <v>113</v>
      </c>
      <c r="B117" s="3"/>
      <c r="C117" s="3"/>
      <c r="D117" s="3"/>
      <c r="E117" s="3"/>
      <c r="F117" s="3"/>
      <c r="G117" s="35"/>
      <c r="H117" s="36"/>
      <c r="I117" s="35"/>
      <c r="J117" s="3"/>
    </row>
    <row r="118" customFormat="false" ht="15" hidden="false" customHeight="false" outlineLevel="0" collapsed="false">
      <c r="A118" s="34" t="n">
        <v>114</v>
      </c>
      <c r="B118" s="3"/>
      <c r="C118" s="3"/>
      <c r="D118" s="3"/>
      <c r="E118" s="3"/>
      <c r="F118" s="3"/>
      <c r="G118" s="35"/>
      <c r="H118" s="36"/>
      <c r="I118" s="35"/>
      <c r="J118" s="3"/>
    </row>
    <row r="119" customFormat="false" ht="15" hidden="false" customHeight="false" outlineLevel="0" collapsed="false">
      <c r="A119" s="34" t="n">
        <v>115</v>
      </c>
      <c r="B119" s="3"/>
      <c r="C119" s="3"/>
      <c r="D119" s="3"/>
      <c r="E119" s="3"/>
      <c r="F119" s="3"/>
      <c r="G119" s="35"/>
      <c r="H119" s="36"/>
      <c r="I119" s="35"/>
      <c r="J119" s="3"/>
    </row>
    <row r="120" customFormat="false" ht="15" hidden="false" customHeight="false" outlineLevel="0" collapsed="false">
      <c r="A120" s="34" t="n">
        <v>116</v>
      </c>
      <c r="B120" s="3"/>
      <c r="C120" s="3"/>
      <c r="D120" s="3"/>
      <c r="E120" s="3"/>
      <c r="F120" s="3"/>
      <c r="G120" s="35"/>
      <c r="H120" s="36"/>
      <c r="I120" s="35"/>
      <c r="J120" s="3"/>
    </row>
    <row r="121" customFormat="false" ht="15" hidden="false" customHeight="false" outlineLevel="0" collapsed="false">
      <c r="A121" s="34" t="n">
        <v>117</v>
      </c>
      <c r="B121" s="3"/>
      <c r="C121" s="3"/>
      <c r="D121" s="3"/>
      <c r="E121" s="3"/>
      <c r="F121" s="3"/>
      <c r="G121" s="35"/>
      <c r="H121" s="36"/>
      <c r="I121" s="35"/>
      <c r="J121" s="3"/>
    </row>
    <row r="122" customFormat="false" ht="15" hidden="false" customHeight="false" outlineLevel="0" collapsed="false">
      <c r="A122" s="34" t="n">
        <v>118</v>
      </c>
      <c r="B122" s="3"/>
      <c r="C122" s="3"/>
      <c r="D122" s="3"/>
      <c r="E122" s="3"/>
      <c r="F122" s="3"/>
      <c r="G122" s="35"/>
      <c r="H122" s="36"/>
      <c r="I122" s="35"/>
      <c r="J122" s="3"/>
    </row>
    <row r="123" customFormat="false" ht="15" hidden="false" customHeight="false" outlineLevel="0" collapsed="false">
      <c r="A123" s="34" t="n">
        <v>119</v>
      </c>
      <c r="B123" s="3"/>
      <c r="C123" s="3"/>
      <c r="D123" s="3"/>
      <c r="E123" s="3"/>
      <c r="F123" s="3"/>
      <c r="G123" s="35"/>
      <c r="H123" s="36"/>
      <c r="I123" s="35"/>
      <c r="J123" s="3"/>
    </row>
    <row r="124" customFormat="false" ht="15" hidden="false" customHeight="false" outlineLevel="0" collapsed="false">
      <c r="A124" s="34" t="n">
        <v>120</v>
      </c>
      <c r="B124" s="3"/>
      <c r="C124" s="3"/>
      <c r="D124" s="3"/>
      <c r="E124" s="3"/>
      <c r="F124" s="3"/>
      <c r="G124" s="35"/>
      <c r="H124" s="36"/>
      <c r="I124" s="35"/>
      <c r="J124" s="3"/>
    </row>
    <row r="125" customFormat="false" ht="15" hidden="false" customHeight="false" outlineLevel="0" collapsed="false">
      <c r="A125" s="34" t="n">
        <v>121</v>
      </c>
      <c r="B125" s="3"/>
      <c r="C125" s="3"/>
      <c r="D125" s="3"/>
      <c r="E125" s="3"/>
      <c r="F125" s="3"/>
      <c r="G125" s="35"/>
      <c r="H125" s="36"/>
      <c r="I125" s="35"/>
      <c r="J125" s="3"/>
    </row>
    <row r="126" customFormat="false" ht="15" hidden="false" customHeight="false" outlineLevel="0" collapsed="false">
      <c r="A126" s="34" t="n">
        <v>122</v>
      </c>
      <c r="B126" s="3"/>
      <c r="C126" s="3"/>
      <c r="D126" s="3"/>
      <c r="E126" s="3"/>
      <c r="F126" s="3"/>
      <c r="G126" s="35"/>
      <c r="H126" s="36"/>
      <c r="I126" s="35"/>
      <c r="J126" s="3"/>
    </row>
    <row r="127" customFormat="false" ht="15" hidden="false" customHeight="false" outlineLevel="0" collapsed="false">
      <c r="A127" s="34" t="n">
        <v>123</v>
      </c>
      <c r="B127" s="3"/>
      <c r="C127" s="3"/>
      <c r="D127" s="3"/>
      <c r="E127" s="3"/>
      <c r="F127" s="3"/>
      <c r="G127" s="35"/>
      <c r="H127" s="36"/>
      <c r="I127" s="35"/>
      <c r="J127" s="3"/>
    </row>
    <row r="128" customFormat="false" ht="15" hidden="false" customHeight="false" outlineLevel="0" collapsed="false">
      <c r="A128" s="34" t="n">
        <v>124</v>
      </c>
      <c r="B128" s="3"/>
      <c r="C128" s="3"/>
      <c r="D128" s="3"/>
      <c r="E128" s="3"/>
      <c r="F128" s="3"/>
      <c r="G128" s="35"/>
      <c r="H128" s="36"/>
      <c r="I128" s="35"/>
      <c r="J128" s="3"/>
    </row>
    <row r="129" customFormat="false" ht="15" hidden="false" customHeight="false" outlineLevel="0" collapsed="false">
      <c r="A129" s="34" t="n">
        <v>125</v>
      </c>
      <c r="B129" s="3"/>
      <c r="C129" s="3"/>
      <c r="D129" s="3"/>
      <c r="E129" s="3"/>
      <c r="F129" s="3"/>
      <c r="G129" s="35"/>
      <c r="H129" s="36"/>
      <c r="I129" s="35"/>
      <c r="J129" s="3"/>
    </row>
    <row r="130" customFormat="false" ht="15" hidden="false" customHeight="false" outlineLevel="0" collapsed="false">
      <c r="A130" s="34" t="n">
        <v>126</v>
      </c>
      <c r="B130" s="3"/>
      <c r="C130" s="3"/>
      <c r="D130" s="3"/>
      <c r="E130" s="3"/>
      <c r="F130" s="3"/>
      <c r="G130" s="35"/>
      <c r="H130" s="36"/>
      <c r="I130" s="35"/>
      <c r="J130" s="3"/>
    </row>
    <row r="131" customFormat="false" ht="15" hidden="false" customHeight="false" outlineLevel="0" collapsed="false">
      <c r="A131" s="34" t="n">
        <v>127</v>
      </c>
      <c r="B131" s="3"/>
      <c r="C131" s="3"/>
      <c r="D131" s="3"/>
      <c r="E131" s="3"/>
      <c r="F131" s="3"/>
      <c r="G131" s="35"/>
      <c r="H131" s="36"/>
      <c r="I131" s="35"/>
      <c r="J131" s="3"/>
    </row>
    <row r="132" customFormat="false" ht="15" hidden="false" customHeight="false" outlineLevel="0" collapsed="false">
      <c r="A132" s="34" t="n">
        <v>128</v>
      </c>
      <c r="B132" s="3"/>
      <c r="C132" s="3"/>
      <c r="D132" s="3"/>
      <c r="E132" s="3"/>
      <c r="F132" s="3"/>
      <c r="G132" s="35"/>
      <c r="H132" s="36"/>
      <c r="I132" s="35"/>
      <c r="J132" s="3"/>
    </row>
    <row r="133" customFormat="false" ht="15" hidden="false" customHeight="false" outlineLevel="0" collapsed="false">
      <c r="A133" s="34" t="n">
        <v>129</v>
      </c>
      <c r="B133" s="3"/>
      <c r="C133" s="3"/>
      <c r="D133" s="3"/>
      <c r="E133" s="3"/>
      <c r="F133" s="3"/>
      <c r="G133" s="35"/>
      <c r="H133" s="36"/>
      <c r="I133" s="35"/>
      <c r="J133" s="3"/>
    </row>
    <row r="134" customFormat="false" ht="15" hidden="false" customHeight="false" outlineLevel="0" collapsed="false">
      <c r="A134" s="34" t="n">
        <v>130</v>
      </c>
      <c r="B134" s="3"/>
      <c r="C134" s="3"/>
      <c r="D134" s="3"/>
      <c r="E134" s="3"/>
      <c r="F134" s="3"/>
      <c r="G134" s="35"/>
      <c r="H134" s="36"/>
      <c r="I134" s="35"/>
      <c r="J134" s="3"/>
    </row>
    <row r="135" customFormat="false" ht="15" hidden="false" customHeight="false" outlineLevel="0" collapsed="false">
      <c r="A135" s="34" t="n">
        <v>131</v>
      </c>
      <c r="B135" s="3"/>
      <c r="C135" s="3"/>
      <c r="D135" s="3"/>
      <c r="E135" s="3"/>
      <c r="F135" s="3"/>
      <c r="G135" s="35"/>
      <c r="H135" s="36"/>
      <c r="I135" s="35"/>
      <c r="J135" s="3"/>
    </row>
    <row r="136" customFormat="false" ht="15" hidden="false" customHeight="false" outlineLevel="0" collapsed="false">
      <c r="A136" s="34" t="n">
        <v>132</v>
      </c>
      <c r="B136" s="3"/>
      <c r="C136" s="3"/>
      <c r="D136" s="3"/>
      <c r="E136" s="3"/>
      <c r="F136" s="3"/>
      <c r="G136" s="35"/>
      <c r="H136" s="36"/>
      <c r="I136" s="35"/>
      <c r="J136" s="3"/>
    </row>
    <row r="137" customFormat="false" ht="15" hidden="false" customHeight="false" outlineLevel="0" collapsed="false">
      <c r="A137" s="34" t="n">
        <v>133</v>
      </c>
      <c r="B137" s="3"/>
      <c r="C137" s="3"/>
      <c r="D137" s="3"/>
      <c r="E137" s="3"/>
      <c r="F137" s="3"/>
      <c r="G137" s="35"/>
      <c r="H137" s="36"/>
      <c r="I137" s="35"/>
      <c r="J137" s="3"/>
    </row>
    <row r="138" customFormat="false" ht="15" hidden="false" customHeight="false" outlineLevel="0" collapsed="false">
      <c r="A138" s="34" t="n">
        <v>134</v>
      </c>
      <c r="B138" s="3"/>
      <c r="C138" s="3"/>
      <c r="D138" s="3"/>
      <c r="E138" s="3"/>
      <c r="F138" s="3"/>
      <c r="G138" s="35"/>
      <c r="H138" s="36"/>
      <c r="I138" s="35"/>
      <c r="J138" s="3"/>
    </row>
    <row r="139" customFormat="false" ht="15" hidden="false" customHeight="false" outlineLevel="0" collapsed="false">
      <c r="A139" s="34" t="n">
        <v>135</v>
      </c>
      <c r="B139" s="3"/>
      <c r="C139" s="3"/>
      <c r="D139" s="3"/>
      <c r="E139" s="3"/>
      <c r="F139" s="3"/>
      <c r="G139" s="35"/>
      <c r="H139" s="36"/>
      <c r="I139" s="35"/>
      <c r="J139" s="3"/>
    </row>
    <row r="140" customFormat="false" ht="15" hidden="false" customHeight="false" outlineLevel="0" collapsed="false">
      <c r="A140" s="34" t="n">
        <v>136</v>
      </c>
      <c r="B140" s="3"/>
      <c r="C140" s="3"/>
      <c r="D140" s="3"/>
      <c r="E140" s="3"/>
      <c r="F140" s="3"/>
      <c r="G140" s="35"/>
      <c r="H140" s="36"/>
      <c r="I140" s="35"/>
      <c r="J140" s="3"/>
    </row>
    <row r="141" customFormat="false" ht="15" hidden="false" customHeight="false" outlineLevel="0" collapsed="false">
      <c r="A141" s="34" t="n">
        <v>137</v>
      </c>
      <c r="B141" s="3"/>
      <c r="C141" s="3"/>
      <c r="D141" s="3"/>
      <c r="E141" s="3"/>
      <c r="F141" s="3"/>
      <c r="G141" s="35"/>
      <c r="H141" s="36"/>
      <c r="I141" s="35"/>
      <c r="J141" s="3"/>
    </row>
    <row r="142" customFormat="false" ht="15" hidden="false" customHeight="false" outlineLevel="0" collapsed="false">
      <c r="A142" s="34" t="n">
        <v>138</v>
      </c>
      <c r="B142" s="3"/>
      <c r="C142" s="3"/>
      <c r="D142" s="3"/>
      <c r="E142" s="3"/>
      <c r="F142" s="3"/>
      <c r="G142" s="35"/>
      <c r="H142" s="36"/>
      <c r="I142" s="35"/>
      <c r="J142" s="3"/>
    </row>
    <row r="143" customFormat="false" ht="15" hidden="false" customHeight="false" outlineLevel="0" collapsed="false">
      <c r="A143" s="34" t="n">
        <v>139</v>
      </c>
      <c r="B143" s="3"/>
      <c r="C143" s="3"/>
      <c r="D143" s="3"/>
      <c r="E143" s="3"/>
      <c r="F143" s="3"/>
      <c r="G143" s="35"/>
      <c r="H143" s="36"/>
      <c r="I143" s="35"/>
      <c r="J143" s="3"/>
    </row>
    <row r="144" customFormat="false" ht="15" hidden="false" customHeight="false" outlineLevel="0" collapsed="false">
      <c r="A144" s="34" t="n">
        <v>140</v>
      </c>
      <c r="B144" s="3"/>
      <c r="C144" s="3"/>
      <c r="D144" s="3"/>
      <c r="E144" s="3"/>
      <c r="F144" s="3"/>
      <c r="G144" s="35"/>
      <c r="H144" s="36"/>
      <c r="I144" s="35"/>
      <c r="J144" s="3"/>
    </row>
    <row r="145" customFormat="false" ht="15" hidden="false" customHeight="false" outlineLevel="0" collapsed="false">
      <c r="A145" s="34" t="n">
        <v>141</v>
      </c>
      <c r="B145" s="3"/>
      <c r="C145" s="3"/>
      <c r="D145" s="3"/>
      <c r="E145" s="3"/>
      <c r="F145" s="3"/>
      <c r="G145" s="35"/>
      <c r="H145" s="36"/>
      <c r="I145" s="35"/>
      <c r="J145" s="3"/>
    </row>
    <row r="146" customFormat="false" ht="15" hidden="false" customHeight="false" outlineLevel="0" collapsed="false">
      <c r="A146" s="34" t="n">
        <v>142</v>
      </c>
      <c r="B146" s="3"/>
      <c r="C146" s="3"/>
      <c r="D146" s="3"/>
      <c r="E146" s="3"/>
      <c r="F146" s="3"/>
      <c r="G146" s="35"/>
      <c r="H146" s="36"/>
      <c r="I146" s="35"/>
      <c r="J146" s="3"/>
    </row>
    <row r="147" customFormat="false" ht="15" hidden="false" customHeight="false" outlineLevel="0" collapsed="false">
      <c r="A147" s="34" t="n">
        <v>143</v>
      </c>
      <c r="B147" s="3"/>
      <c r="C147" s="3"/>
      <c r="D147" s="3"/>
      <c r="E147" s="3"/>
      <c r="F147" s="3"/>
      <c r="G147" s="35"/>
      <c r="H147" s="36"/>
      <c r="I147" s="35"/>
      <c r="J147" s="3"/>
    </row>
    <row r="148" customFormat="false" ht="15" hidden="false" customHeight="false" outlineLevel="0" collapsed="false">
      <c r="A148" s="34" t="n">
        <v>144</v>
      </c>
      <c r="B148" s="3"/>
      <c r="C148" s="3"/>
      <c r="D148" s="3"/>
      <c r="E148" s="3"/>
      <c r="F148" s="3"/>
      <c r="G148" s="35"/>
      <c r="H148" s="36"/>
      <c r="I148" s="35"/>
      <c r="J148" s="3"/>
    </row>
    <row r="149" customFormat="false" ht="15" hidden="false" customHeight="false" outlineLevel="0" collapsed="false">
      <c r="A149" s="34" t="n">
        <v>145</v>
      </c>
      <c r="B149" s="3"/>
      <c r="C149" s="3"/>
      <c r="D149" s="3"/>
      <c r="E149" s="3"/>
      <c r="F149" s="3"/>
      <c r="G149" s="35"/>
      <c r="H149" s="36"/>
      <c r="I149" s="35"/>
      <c r="J149" s="3"/>
    </row>
    <row r="150" customFormat="false" ht="15" hidden="false" customHeight="false" outlineLevel="0" collapsed="false">
      <c r="A150" s="34" t="n">
        <v>146</v>
      </c>
      <c r="B150" s="3"/>
      <c r="C150" s="3"/>
      <c r="D150" s="3"/>
      <c r="E150" s="3"/>
      <c r="F150" s="3"/>
      <c r="G150" s="35"/>
      <c r="H150" s="36"/>
      <c r="I150" s="35"/>
      <c r="J150" s="3"/>
    </row>
    <row r="151" customFormat="false" ht="15" hidden="false" customHeight="false" outlineLevel="0" collapsed="false">
      <c r="A151" s="34" t="n">
        <v>147</v>
      </c>
      <c r="B151" s="3"/>
      <c r="C151" s="3"/>
      <c r="D151" s="3"/>
      <c r="E151" s="3"/>
      <c r="F151" s="3"/>
      <c r="G151" s="35"/>
      <c r="H151" s="36"/>
      <c r="I151" s="35"/>
      <c r="J151" s="3"/>
    </row>
    <row r="152" customFormat="false" ht="15" hidden="false" customHeight="false" outlineLevel="0" collapsed="false">
      <c r="A152" s="34" t="n">
        <v>148</v>
      </c>
      <c r="B152" s="3"/>
      <c r="C152" s="3"/>
      <c r="D152" s="3"/>
      <c r="E152" s="3"/>
      <c r="F152" s="3"/>
      <c r="G152" s="35"/>
      <c r="H152" s="36"/>
      <c r="I152" s="35"/>
      <c r="J152" s="3"/>
    </row>
    <row r="153" customFormat="false" ht="15" hidden="false" customHeight="false" outlineLevel="0" collapsed="false">
      <c r="A153" s="34" t="n">
        <v>149</v>
      </c>
      <c r="B153" s="3"/>
      <c r="C153" s="3"/>
      <c r="D153" s="3"/>
      <c r="E153" s="3"/>
      <c r="F153" s="3"/>
      <c r="G153" s="35"/>
      <c r="H153" s="36"/>
      <c r="I153" s="35"/>
      <c r="J153" s="3"/>
    </row>
    <row r="154" customFormat="false" ht="15" hidden="false" customHeight="false" outlineLevel="0" collapsed="false">
      <c r="A154" s="34" t="n">
        <v>150</v>
      </c>
      <c r="B154" s="3"/>
      <c r="C154" s="3"/>
      <c r="D154" s="3"/>
      <c r="E154" s="3"/>
      <c r="F154" s="3"/>
      <c r="G154" s="35"/>
      <c r="H154" s="36"/>
      <c r="I154" s="35"/>
      <c r="J154" s="3"/>
    </row>
    <row r="155" customFormat="false" ht="15" hidden="false" customHeight="false" outlineLevel="0" collapsed="false">
      <c r="A155" s="34" t="n">
        <v>151</v>
      </c>
      <c r="B155" s="3"/>
      <c r="C155" s="3"/>
      <c r="D155" s="3"/>
      <c r="E155" s="3"/>
      <c r="F155" s="3"/>
      <c r="G155" s="35"/>
      <c r="H155" s="36"/>
      <c r="I155" s="35"/>
      <c r="J155" s="3"/>
    </row>
    <row r="156" customFormat="false" ht="15" hidden="false" customHeight="false" outlineLevel="0" collapsed="false">
      <c r="A156" s="34" t="n">
        <v>152</v>
      </c>
      <c r="B156" s="3"/>
      <c r="C156" s="3"/>
      <c r="D156" s="3"/>
      <c r="E156" s="3"/>
      <c r="F156" s="3"/>
      <c r="G156" s="35"/>
      <c r="H156" s="36"/>
      <c r="I156" s="35"/>
      <c r="J156" s="3"/>
    </row>
    <row r="157" customFormat="false" ht="15" hidden="false" customHeight="false" outlineLevel="0" collapsed="false">
      <c r="A157" s="34" t="n">
        <v>153</v>
      </c>
      <c r="B157" s="3"/>
      <c r="C157" s="3"/>
      <c r="D157" s="3"/>
      <c r="E157" s="3"/>
      <c r="F157" s="3"/>
      <c r="G157" s="35"/>
      <c r="H157" s="36"/>
      <c r="I157" s="35"/>
      <c r="J157" s="3"/>
    </row>
    <row r="158" customFormat="false" ht="15" hidden="false" customHeight="false" outlineLevel="0" collapsed="false">
      <c r="A158" s="34" t="n">
        <v>154</v>
      </c>
      <c r="B158" s="3"/>
      <c r="C158" s="3"/>
      <c r="D158" s="3"/>
      <c r="E158" s="3"/>
      <c r="F158" s="3"/>
      <c r="G158" s="35"/>
      <c r="H158" s="36"/>
      <c r="I158" s="35"/>
      <c r="J158" s="3"/>
    </row>
    <row r="159" customFormat="false" ht="15" hidden="false" customHeight="false" outlineLevel="0" collapsed="false">
      <c r="A159" s="34" t="n">
        <v>155</v>
      </c>
      <c r="B159" s="3"/>
      <c r="C159" s="3"/>
      <c r="D159" s="3"/>
      <c r="E159" s="3"/>
      <c r="F159" s="3"/>
      <c r="G159" s="35"/>
      <c r="H159" s="36"/>
      <c r="I159" s="35"/>
      <c r="J159" s="3"/>
    </row>
    <row r="160" customFormat="false" ht="15" hidden="false" customHeight="false" outlineLevel="0" collapsed="false">
      <c r="A160" s="34" t="n">
        <v>156</v>
      </c>
      <c r="B160" s="3"/>
      <c r="C160" s="3"/>
      <c r="D160" s="3"/>
      <c r="E160" s="3"/>
      <c r="F160" s="3"/>
      <c r="G160" s="35"/>
      <c r="H160" s="36"/>
      <c r="I160" s="35"/>
      <c r="J160" s="3"/>
    </row>
    <row r="161" customFormat="false" ht="15" hidden="false" customHeight="false" outlineLevel="0" collapsed="false">
      <c r="A161" s="34" t="n">
        <v>157</v>
      </c>
      <c r="B161" s="3"/>
      <c r="C161" s="3"/>
      <c r="D161" s="3"/>
      <c r="E161" s="3"/>
      <c r="F161" s="3"/>
      <c r="G161" s="35"/>
      <c r="H161" s="36"/>
      <c r="I161" s="35"/>
      <c r="J161" s="3"/>
    </row>
    <row r="162" customFormat="false" ht="15" hidden="false" customHeight="false" outlineLevel="0" collapsed="false">
      <c r="A162" s="34" t="n">
        <v>158</v>
      </c>
      <c r="B162" s="3"/>
      <c r="C162" s="3"/>
      <c r="D162" s="3"/>
      <c r="E162" s="3"/>
      <c r="F162" s="3"/>
      <c r="G162" s="35"/>
      <c r="H162" s="36"/>
      <c r="I162" s="35"/>
      <c r="J162" s="3"/>
    </row>
    <row r="163" customFormat="false" ht="15" hidden="false" customHeight="false" outlineLevel="0" collapsed="false">
      <c r="A163" s="34" t="n">
        <v>159</v>
      </c>
      <c r="B163" s="3"/>
      <c r="C163" s="3"/>
      <c r="D163" s="3"/>
      <c r="E163" s="3"/>
      <c r="F163" s="3"/>
      <c r="G163" s="35"/>
      <c r="H163" s="36"/>
      <c r="I163" s="35"/>
      <c r="J163" s="3"/>
    </row>
    <row r="164" customFormat="false" ht="15" hidden="false" customHeight="false" outlineLevel="0" collapsed="false">
      <c r="A164" s="34" t="n">
        <v>160</v>
      </c>
      <c r="B164" s="3"/>
      <c r="C164" s="3"/>
      <c r="D164" s="3"/>
      <c r="E164" s="3"/>
      <c r="F164" s="3"/>
      <c r="G164" s="35"/>
      <c r="H164" s="36"/>
      <c r="I164" s="35"/>
      <c r="J164" s="3"/>
    </row>
    <row r="165" customFormat="false" ht="15" hidden="false" customHeight="false" outlineLevel="0" collapsed="false">
      <c r="A165" s="34" t="n">
        <v>161</v>
      </c>
      <c r="B165" s="3"/>
      <c r="C165" s="3"/>
      <c r="D165" s="3"/>
      <c r="E165" s="3"/>
      <c r="F165" s="3"/>
      <c r="G165" s="35"/>
      <c r="H165" s="36"/>
      <c r="I165" s="35"/>
      <c r="J165" s="3"/>
    </row>
    <row r="166" customFormat="false" ht="15" hidden="false" customHeight="false" outlineLevel="0" collapsed="false">
      <c r="A166" s="34" t="n">
        <v>162</v>
      </c>
      <c r="B166" s="3"/>
      <c r="C166" s="3"/>
      <c r="D166" s="3"/>
      <c r="E166" s="3"/>
      <c r="F166" s="3"/>
      <c r="G166" s="35"/>
      <c r="H166" s="36"/>
      <c r="I166" s="35"/>
      <c r="J166" s="3"/>
    </row>
    <row r="167" customFormat="false" ht="15" hidden="false" customHeight="false" outlineLevel="0" collapsed="false">
      <c r="A167" s="34" t="n">
        <v>163</v>
      </c>
      <c r="B167" s="3"/>
      <c r="C167" s="3"/>
      <c r="D167" s="3"/>
      <c r="E167" s="3"/>
      <c r="F167" s="3"/>
      <c r="G167" s="35"/>
      <c r="H167" s="36"/>
      <c r="I167" s="35"/>
      <c r="J167" s="3"/>
    </row>
    <row r="168" customFormat="false" ht="15" hidden="false" customHeight="false" outlineLevel="0" collapsed="false">
      <c r="A168" s="34" t="n">
        <v>164</v>
      </c>
      <c r="B168" s="3"/>
      <c r="C168" s="3"/>
      <c r="D168" s="3"/>
      <c r="E168" s="3"/>
      <c r="F168" s="3"/>
      <c r="G168" s="35"/>
      <c r="H168" s="36"/>
      <c r="I168" s="35"/>
      <c r="J168" s="3"/>
    </row>
    <row r="169" customFormat="false" ht="15" hidden="false" customHeight="false" outlineLevel="0" collapsed="false">
      <c r="A169" s="34" t="n">
        <v>165</v>
      </c>
      <c r="B169" s="3"/>
      <c r="C169" s="3"/>
      <c r="D169" s="3"/>
      <c r="E169" s="3"/>
      <c r="F169" s="3"/>
      <c r="G169" s="35"/>
      <c r="H169" s="36"/>
      <c r="I169" s="35"/>
      <c r="J169" s="3"/>
    </row>
    <row r="170" customFormat="false" ht="15" hidden="false" customHeight="false" outlineLevel="0" collapsed="false">
      <c r="A170" s="34" t="n">
        <v>166</v>
      </c>
      <c r="B170" s="3"/>
      <c r="C170" s="3"/>
      <c r="D170" s="3"/>
      <c r="E170" s="3"/>
      <c r="F170" s="3"/>
      <c r="G170" s="35"/>
      <c r="H170" s="36"/>
      <c r="I170" s="35"/>
      <c r="J170" s="3"/>
    </row>
    <row r="171" customFormat="false" ht="15" hidden="false" customHeight="false" outlineLevel="0" collapsed="false">
      <c r="A171" s="34" t="n">
        <v>167</v>
      </c>
      <c r="B171" s="3"/>
      <c r="C171" s="3"/>
      <c r="D171" s="3"/>
      <c r="E171" s="3"/>
      <c r="F171" s="3"/>
      <c r="G171" s="35"/>
      <c r="H171" s="36"/>
      <c r="I171" s="35"/>
      <c r="J171" s="3"/>
    </row>
    <row r="172" customFormat="false" ht="15" hidden="false" customHeight="false" outlineLevel="0" collapsed="false">
      <c r="A172" s="34" t="n">
        <v>168</v>
      </c>
      <c r="B172" s="3"/>
      <c r="C172" s="3"/>
      <c r="D172" s="3"/>
      <c r="E172" s="3"/>
      <c r="F172" s="3"/>
      <c r="G172" s="35"/>
      <c r="H172" s="36"/>
      <c r="I172" s="35"/>
      <c r="J172" s="3"/>
    </row>
    <row r="173" customFormat="false" ht="15" hidden="false" customHeight="false" outlineLevel="0" collapsed="false">
      <c r="A173" s="34" t="n">
        <v>169</v>
      </c>
      <c r="B173" s="3"/>
      <c r="C173" s="3"/>
      <c r="D173" s="3"/>
      <c r="E173" s="3"/>
      <c r="F173" s="3"/>
      <c r="G173" s="35"/>
      <c r="H173" s="36"/>
      <c r="I173" s="35"/>
      <c r="J173" s="3"/>
    </row>
    <row r="174" customFormat="false" ht="15" hidden="false" customHeight="false" outlineLevel="0" collapsed="false">
      <c r="A174" s="34" t="n">
        <v>170</v>
      </c>
      <c r="B174" s="3"/>
      <c r="C174" s="3"/>
      <c r="D174" s="3"/>
      <c r="E174" s="3"/>
      <c r="F174" s="3"/>
      <c r="G174" s="35"/>
      <c r="H174" s="36"/>
      <c r="I174" s="35"/>
      <c r="J174" s="3"/>
    </row>
    <row r="175" customFormat="false" ht="15" hidden="false" customHeight="false" outlineLevel="0" collapsed="false">
      <c r="A175" s="34" t="n">
        <v>171</v>
      </c>
      <c r="B175" s="3"/>
      <c r="C175" s="3"/>
      <c r="D175" s="3"/>
      <c r="E175" s="3"/>
      <c r="F175" s="3"/>
      <c r="G175" s="35"/>
      <c r="H175" s="36"/>
      <c r="I175" s="35"/>
      <c r="J175" s="3"/>
    </row>
    <row r="176" customFormat="false" ht="15" hidden="false" customHeight="false" outlineLevel="0" collapsed="false">
      <c r="A176" s="34" t="n">
        <v>172</v>
      </c>
      <c r="B176" s="3"/>
      <c r="C176" s="3"/>
      <c r="D176" s="3"/>
      <c r="E176" s="3"/>
      <c r="F176" s="3"/>
      <c r="G176" s="35"/>
      <c r="H176" s="36"/>
      <c r="I176" s="35"/>
      <c r="J176" s="3"/>
    </row>
    <row r="177" customFormat="false" ht="15" hidden="false" customHeight="false" outlineLevel="0" collapsed="false">
      <c r="A177" s="34" t="n">
        <v>173</v>
      </c>
      <c r="B177" s="3"/>
      <c r="C177" s="3"/>
      <c r="D177" s="3"/>
      <c r="E177" s="3"/>
      <c r="F177" s="3"/>
      <c r="G177" s="35"/>
      <c r="H177" s="36"/>
      <c r="I177" s="35"/>
      <c r="J177" s="3"/>
    </row>
    <row r="178" customFormat="false" ht="15" hidden="false" customHeight="false" outlineLevel="0" collapsed="false">
      <c r="A178" s="34" t="n">
        <v>174</v>
      </c>
      <c r="B178" s="3"/>
      <c r="C178" s="3"/>
      <c r="D178" s="3"/>
      <c r="E178" s="3"/>
      <c r="F178" s="3"/>
      <c r="G178" s="35"/>
      <c r="H178" s="36"/>
      <c r="I178" s="35"/>
      <c r="J178" s="3"/>
    </row>
    <row r="179" customFormat="false" ht="15" hidden="false" customHeight="false" outlineLevel="0" collapsed="false">
      <c r="A179" s="34" t="n">
        <v>175</v>
      </c>
      <c r="B179" s="3"/>
      <c r="C179" s="3"/>
      <c r="D179" s="3"/>
      <c r="E179" s="3"/>
      <c r="F179" s="3"/>
      <c r="G179" s="35"/>
      <c r="H179" s="36"/>
      <c r="I179" s="35"/>
      <c r="J179" s="3"/>
    </row>
    <row r="180" customFormat="false" ht="15" hidden="false" customHeight="false" outlineLevel="0" collapsed="false">
      <c r="A180" s="34" t="n">
        <v>176</v>
      </c>
      <c r="B180" s="3"/>
      <c r="C180" s="3"/>
      <c r="D180" s="3"/>
      <c r="E180" s="3"/>
      <c r="F180" s="3"/>
      <c r="G180" s="35"/>
      <c r="H180" s="36"/>
      <c r="I180" s="35"/>
      <c r="J180" s="3"/>
    </row>
    <row r="181" customFormat="false" ht="15" hidden="false" customHeight="false" outlineLevel="0" collapsed="false">
      <c r="A181" s="34" t="n">
        <v>177</v>
      </c>
      <c r="B181" s="3"/>
      <c r="C181" s="3"/>
      <c r="D181" s="3"/>
      <c r="E181" s="3"/>
      <c r="F181" s="3"/>
      <c r="G181" s="35"/>
      <c r="H181" s="36"/>
      <c r="I181" s="35"/>
      <c r="J181" s="3"/>
    </row>
    <row r="182" customFormat="false" ht="15" hidden="false" customHeight="false" outlineLevel="0" collapsed="false">
      <c r="A182" s="34" t="n">
        <v>178</v>
      </c>
      <c r="B182" s="3"/>
      <c r="C182" s="3"/>
      <c r="D182" s="3"/>
      <c r="E182" s="3"/>
      <c r="F182" s="3"/>
      <c r="G182" s="35"/>
      <c r="H182" s="36"/>
      <c r="I182" s="35"/>
      <c r="J182" s="3"/>
    </row>
    <row r="183" customFormat="false" ht="15" hidden="false" customHeight="false" outlineLevel="0" collapsed="false">
      <c r="A183" s="34" t="n">
        <v>179</v>
      </c>
      <c r="B183" s="3"/>
      <c r="C183" s="3"/>
      <c r="D183" s="3"/>
      <c r="E183" s="3"/>
      <c r="F183" s="3"/>
      <c r="G183" s="35"/>
      <c r="H183" s="36"/>
      <c r="I183" s="35"/>
      <c r="J183" s="3"/>
    </row>
    <row r="184" customFormat="false" ht="15" hidden="false" customHeight="false" outlineLevel="0" collapsed="false">
      <c r="A184" s="34" t="n">
        <v>180</v>
      </c>
      <c r="B184" s="3"/>
      <c r="C184" s="3"/>
      <c r="D184" s="3"/>
      <c r="E184" s="3"/>
      <c r="F184" s="3"/>
      <c r="G184" s="35"/>
      <c r="H184" s="36"/>
      <c r="I184" s="35"/>
      <c r="J184" s="3"/>
    </row>
    <row r="185" customFormat="false" ht="15" hidden="false" customHeight="false" outlineLevel="0" collapsed="false">
      <c r="A185" s="34" t="n">
        <v>181</v>
      </c>
      <c r="B185" s="3"/>
      <c r="C185" s="3"/>
      <c r="D185" s="3"/>
      <c r="E185" s="3"/>
      <c r="F185" s="3"/>
      <c r="G185" s="35"/>
      <c r="H185" s="36"/>
      <c r="I185" s="35"/>
      <c r="J185" s="3"/>
    </row>
    <row r="186" customFormat="false" ht="15" hidden="false" customHeight="false" outlineLevel="0" collapsed="false">
      <c r="A186" s="34" t="n">
        <v>182</v>
      </c>
      <c r="B186" s="3"/>
      <c r="C186" s="3"/>
      <c r="D186" s="3"/>
      <c r="E186" s="3"/>
      <c r="F186" s="3"/>
      <c r="G186" s="35"/>
      <c r="H186" s="36"/>
      <c r="I186" s="35"/>
      <c r="J186" s="3"/>
    </row>
    <row r="187" customFormat="false" ht="15" hidden="false" customHeight="false" outlineLevel="0" collapsed="false">
      <c r="A187" s="34" t="n">
        <v>183</v>
      </c>
      <c r="B187" s="3"/>
      <c r="C187" s="3"/>
      <c r="D187" s="3"/>
      <c r="E187" s="3"/>
      <c r="F187" s="3"/>
      <c r="G187" s="35"/>
      <c r="H187" s="36"/>
      <c r="I187" s="35"/>
      <c r="J187" s="3"/>
    </row>
    <row r="188" customFormat="false" ht="15" hidden="false" customHeight="false" outlineLevel="0" collapsed="false">
      <c r="A188" s="34" t="n">
        <v>184</v>
      </c>
      <c r="B188" s="3"/>
      <c r="C188" s="3"/>
      <c r="D188" s="3"/>
      <c r="E188" s="3"/>
      <c r="F188" s="3"/>
      <c r="G188" s="35"/>
      <c r="H188" s="36"/>
      <c r="I188" s="35"/>
      <c r="J188" s="3"/>
    </row>
    <row r="189" customFormat="false" ht="15" hidden="false" customHeight="false" outlineLevel="0" collapsed="false">
      <c r="A189" s="34" t="n">
        <v>185</v>
      </c>
      <c r="B189" s="3"/>
      <c r="C189" s="3"/>
      <c r="D189" s="3"/>
      <c r="E189" s="3"/>
      <c r="F189" s="3"/>
      <c r="G189" s="35"/>
      <c r="H189" s="36"/>
      <c r="I189" s="35"/>
      <c r="J189" s="3"/>
    </row>
    <row r="190" customFormat="false" ht="15" hidden="false" customHeight="false" outlineLevel="0" collapsed="false">
      <c r="A190" s="34" t="n">
        <v>186</v>
      </c>
      <c r="B190" s="3"/>
      <c r="C190" s="3"/>
      <c r="D190" s="3"/>
      <c r="E190" s="3"/>
      <c r="F190" s="3"/>
      <c r="G190" s="35"/>
      <c r="H190" s="36"/>
      <c r="I190" s="35"/>
      <c r="J190" s="3"/>
    </row>
    <row r="191" customFormat="false" ht="15" hidden="false" customHeight="false" outlineLevel="0" collapsed="false">
      <c r="A191" s="34" t="n">
        <v>187</v>
      </c>
      <c r="B191" s="3"/>
      <c r="C191" s="3"/>
      <c r="D191" s="3"/>
      <c r="E191" s="3"/>
      <c r="F191" s="3"/>
      <c r="G191" s="35"/>
      <c r="H191" s="36"/>
      <c r="I191" s="35"/>
      <c r="J191" s="3"/>
    </row>
    <row r="192" customFormat="false" ht="15" hidden="false" customHeight="false" outlineLevel="0" collapsed="false">
      <c r="A192" s="34" t="n">
        <v>188</v>
      </c>
      <c r="B192" s="3"/>
      <c r="C192" s="3"/>
      <c r="D192" s="3"/>
      <c r="E192" s="3"/>
      <c r="F192" s="3"/>
      <c r="G192" s="35"/>
      <c r="H192" s="36"/>
      <c r="I192" s="35"/>
      <c r="J192" s="3"/>
    </row>
    <row r="193" customFormat="false" ht="15" hidden="false" customHeight="false" outlineLevel="0" collapsed="false">
      <c r="A193" s="34" t="n">
        <v>189</v>
      </c>
      <c r="B193" s="3"/>
      <c r="C193" s="3"/>
      <c r="D193" s="3"/>
      <c r="E193" s="3"/>
      <c r="F193" s="3"/>
      <c r="G193" s="35"/>
      <c r="H193" s="36"/>
      <c r="I193" s="35"/>
      <c r="J193" s="3"/>
    </row>
    <row r="194" customFormat="false" ht="15" hidden="false" customHeight="false" outlineLevel="0" collapsed="false">
      <c r="A194" s="34" t="n">
        <v>190</v>
      </c>
      <c r="B194" s="3"/>
      <c r="C194" s="3"/>
      <c r="D194" s="3"/>
      <c r="E194" s="3"/>
      <c r="F194" s="3"/>
      <c r="G194" s="35"/>
      <c r="H194" s="36"/>
      <c r="I194" s="35"/>
      <c r="J194" s="3"/>
    </row>
    <row r="195" customFormat="false" ht="15" hidden="false" customHeight="false" outlineLevel="0" collapsed="false">
      <c r="A195" s="34" t="n">
        <v>191</v>
      </c>
      <c r="B195" s="3"/>
      <c r="C195" s="3"/>
      <c r="D195" s="3"/>
      <c r="E195" s="3"/>
      <c r="F195" s="3"/>
      <c r="G195" s="35"/>
      <c r="H195" s="36"/>
      <c r="I195" s="35"/>
      <c r="J195" s="3"/>
    </row>
    <row r="196" customFormat="false" ht="15" hidden="false" customHeight="false" outlineLevel="0" collapsed="false">
      <c r="A196" s="34" t="n">
        <v>192</v>
      </c>
      <c r="B196" s="3"/>
      <c r="C196" s="3"/>
      <c r="D196" s="3"/>
      <c r="E196" s="3"/>
      <c r="F196" s="3"/>
      <c r="G196" s="35"/>
      <c r="H196" s="36"/>
      <c r="I196" s="35"/>
      <c r="J196" s="3"/>
    </row>
    <row r="197" customFormat="false" ht="15" hidden="false" customHeight="false" outlineLevel="0" collapsed="false">
      <c r="A197" s="34" t="n">
        <v>193</v>
      </c>
      <c r="B197" s="3"/>
      <c r="C197" s="3"/>
      <c r="D197" s="3"/>
      <c r="E197" s="3"/>
      <c r="F197" s="3"/>
      <c r="G197" s="35"/>
      <c r="H197" s="36"/>
      <c r="I197" s="35"/>
      <c r="J197" s="3"/>
    </row>
    <row r="198" customFormat="false" ht="15" hidden="false" customHeight="false" outlineLevel="0" collapsed="false">
      <c r="A198" s="34" t="n">
        <v>194</v>
      </c>
      <c r="B198" s="3"/>
      <c r="C198" s="3"/>
      <c r="D198" s="3"/>
      <c r="E198" s="3"/>
      <c r="F198" s="3"/>
      <c r="G198" s="35"/>
      <c r="H198" s="36"/>
      <c r="I198" s="35"/>
      <c r="J198" s="3"/>
    </row>
    <row r="199" customFormat="false" ht="15" hidden="false" customHeight="false" outlineLevel="0" collapsed="false">
      <c r="A199" s="34" t="n">
        <v>195</v>
      </c>
      <c r="B199" s="3"/>
      <c r="C199" s="3"/>
      <c r="D199" s="3"/>
      <c r="E199" s="3"/>
      <c r="F199" s="3"/>
      <c r="G199" s="35"/>
      <c r="H199" s="36"/>
      <c r="I199" s="35"/>
      <c r="J199" s="3"/>
    </row>
    <row r="200" customFormat="false" ht="15" hidden="false" customHeight="false" outlineLevel="0" collapsed="false">
      <c r="A200" s="34" t="n">
        <v>196</v>
      </c>
      <c r="B200" s="3"/>
      <c r="C200" s="3"/>
      <c r="D200" s="3"/>
      <c r="E200" s="3"/>
      <c r="F200" s="3"/>
      <c r="G200" s="35"/>
      <c r="H200" s="36"/>
      <c r="I200" s="35"/>
      <c r="J200" s="3"/>
    </row>
    <row r="201" customFormat="false" ht="15" hidden="false" customHeight="false" outlineLevel="0" collapsed="false">
      <c r="A201" s="34" t="n">
        <v>197</v>
      </c>
      <c r="B201" s="3"/>
      <c r="C201" s="3"/>
      <c r="D201" s="3"/>
      <c r="E201" s="3"/>
      <c r="F201" s="3"/>
      <c r="G201" s="35"/>
      <c r="H201" s="36"/>
      <c r="I201" s="35"/>
      <c r="J201" s="3"/>
    </row>
    <row r="202" customFormat="false" ht="15" hidden="false" customHeight="false" outlineLevel="0" collapsed="false">
      <c r="A202" s="34" t="n">
        <v>198</v>
      </c>
      <c r="B202" s="3"/>
      <c r="C202" s="3"/>
      <c r="D202" s="3"/>
      <c r="E202" s="3"/>
      <c r="F202" s="3"/>
      <c r="G202" s="35"/>
      <c r="H202" s="36"/>
      <c r="I202" s="35"/>
      <c r="J202" s="3"/>
    </row>
    <row r="203" customFormat="false" ht="15" hidden="false" customHeight="false" outlineLevel="0" collapsed="false">
      <c r="A203" s="34" t="n">
        <v>199</v>
      </c>
      <c r="B203" s="3"/>
      <c r="C203" s="3"/>
      <c r="D203" s="3"/>
      <c r="E203" s="3"/>
      <c r="F203" s="3"/>
      <c r="G203" s="35"/>
      <c r="H203" s="36"/>
      <c r="I203" s="35"/>
      <c r="J203" s="3"/>
    </row>
    <row r="204" customFormat="false" ht="15" hidden="false" customHeight="false" outlineLevel="0" collapsed="false">
      <c r="A204" s="34" t="n">
        <v>200</v>
      </c>
      <c r="B204" s="3"/>
      <c r="C204" s="3"/>
      <c r="D204" s="3"/>
      <c r="E204" s="3"/>
      <c r="F204" s="3"/>
      <c r="G204" s="35"/>
      <c r="H204" s="36"/>
      <c r="I204" s="35"/>
      <c r="J204" s="3"/>
    </row>
  </sheetData>
  <conditionalFormatting sqref="G5:G204">
    <cfRule type="expression" priority="2" aboveAverage="0" equalAverage="0" bottom="0" percent="0" rank="0" text="" dxfId="8">
      <formula>$G5="○"</formula>
    </cfRule>
    <cfRule type="expression" priority="3" aboveAverage="0" equalAverage="0" bottom="0" percent="0" rank="0" text="" dxfId="10">
      <formula>$G5="×"</formula>
    </cfRule>
  </conditionalFormatting>
  <dataValidations count="4">
    <dataValidation allowBlank="true" errorStyle="stop" operator="between" showDropDown="false" showErrorMessage="false" showInputMessage="false" sqref="D5:D204" type="list">
      <formula1>"横,縦,周辺"</formula1>
      <formula2>0</formula2>
    </dataValidation>
    <dataValidation allowBlank="true" errorStyle="stop" operator="between" showDropDown="false" showErrorMessage="false" showInputMessage="false" sqref="C5:C204" type="list">
      <formula1>設定!$A$26:$A$35</formula1>
      <formula2>0</formula2>
    </dataValidation>
    <dataValidation allowBlank="true" errorStyle="stop" operator="between" showDropDown="false" showErrorMessage="false" showInputMessage="false" sqref="G5:G204" type="list">
      <formula1>"○,×,？"</formula1>
      <formula2>0</formula2>
    </dataValidation>
    <dataValidation allowBlank="true" errorStyle="stop" operator="between" showDropDown="false" showErrorMessage="false" showInputMessage="false" sqref="I5:I204" type="list">
      <formula1>"○"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9"/>
    <col collapsed="false" customWidth="true" hidden="false" outlineLevel="0" max="5" min="5" style="0" width="13"/>
    <col collapsed="false" customWidth="true" hidden="false" outlineLevel="0" max="6" min="6" style="0" width="36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40"/>
  </cols>
  <sheetData>
    <row r="1" customFormat="false" ht="17.35" hidden="false" customHeight="false" outlineLevel="0" collapsed="false">
      <c r="A1" s="8" t="s">
        <v>205</v>
      </c>
    </row>
    <row r="2" customFormat="false" ht="15" hidden="false" customHeight="false" outlineLevel="0" collapsed="false">
      <c r="A2" s="9" t="s">
        <v>206</v>
      </c>
    </row>
    <row r="4" customFormat="false" ht="36" hidden="false" customHeight="true" outlineLevel="0" collapsed="false">
      <c r="A4" s="10" t="s">
        <v>207</v>
      </c>
      <c r="B4" s="10" t="s">
        <v>208</v>
      </c>
      <c r="C4" s="10" t="s">
        <v>209</v>
      </c>
      <c r="D4" s="10" t="s">
        <v>210</v>
      </c>
      <c r="E4" s="10" t="s">
        <v>211</v>
      </c>
      <c r="F4" s="10" t="s">
        <v>125</v>
      </c>
      <c r="H4" s="10" t="s">
        <v>212</v>
      </c>
      <c r="I4" s="10" t="s">
        <v>208</v>
      </c>
      <c r="J4" s="10" t="s">
        <v>209</v>
      </c>
      <c r="K4" s="10" t="s">
        <v>210</v>
      </c>
      <c r="L4" s="10" t="s">
        <v>211</v>
      </c>
      <c r="M4" s="10" t="s">
        <v>213</v>
      </c>
      <c r="N4" s="10" t="s">
        <v>214</v>
      </c>
    </row>
    <row r="5" customFormat="false" ht="15" hidden="false" customHeight="false" outlineLevel="0" collapsed="false">
      <c r="A5" s="52" t="n">
        <v>46315</v>
      </c>
      <c r="B5" s="53" t="n">
        <v>2.5</v>
      </c>
      <c r="C5" s="36" t="n">
        <v>0</v>
      </c>
      <c r="D5" s="36" t="n">
        <v>0</v>
      </c>
      <c r="E5" s="36" t="n">
        <v>0</v>
      </c>
      <c r="F5" s="3" t="s">
        <v>215</v>
      </c>
      <c r="H5" s="54" t="n">
        <v>46296</v>
      </c>
      <c r="I5" s="55" t="n">
        <f aca="false">SUMIFS($B$5:$B$404,$A$5:$A$404,"&gt;="&amp;$H5,$A$5:$A$404,"&lt;"&amp;DATE(YEAR($H5),MONTH($H5)+1,1))</f>
        <v>2.5</v>
      </c>
      <c r="J5" s="38" t="n">
        <f aca="false">SUMIFS($C$5:$C$404,$A$5:$A$404,"&gt;="&amp;$H5,$A$5:$A$404,"&lt;"&amp;DATE(YEAR($H5),MONTH($H5)+1,1))</f>
        <v>0</v>
      </c>
      <c r="K5" s="38" t="n">
        <f aca="false">SUMIFS($D$5:$D$404,$A$5:$A$404,"&gt;="&amp;$H5,$A$5:$A$404,"&lt;"&amp;DATE(YEAR($H5),MONTH($H5)+1,1))</f>
        <v>0</v>
      </c>
      <c r="L5" s="38" t="n">
        <f aca="false">SUMIFS($E$5:$E$404,$A$5:$A$404,"&gt;="&amp;$H5,$A$5:$A$404,"&lt;"&amp;DATE(YEAR($H5),MONTH($H5)+1,1))</f>
        <v>0</v>
      </c>
      <c r="M5" s="39" t="n">
        <f aca="false">IF(I5=0,"",L5/I5)</f>
        <v>0</v>
      </c>
      <c r="N5" s="56" t="s">
        <v>216</v>
      </c>
    </row>
    <row r="6" customFormat="false" ht="15" hidden="false" customHeight="false" outlineLevel="0" collapsed="false">
      <c r="A6" s="52"/>
      <c r="B6" s="53"/>
      <c r="C6" s="36"/>
      <c r="D6" s="36"/>
      <c r="E6" s="36"/>
      <c r="F6" s="3"/>
      <c r="H6" s="57" t="n">
        <f aca="false">DATE(YEAR(H5),MONTH(H5)+1,1)</f>
        <v>46327</v>
      </c>
      <c r="I6" s="55" t="n">
        <f aca="false">SUMIFS($B$5:$B$404,$A$5:$A$404,"&gt;="&amp;$H6,$A$5:$A$404,"&lt;"&amp;DATE(YEAR($H6),MONTH($H6)+1,1))</f>
        <v>0</v>
      </c>
      <c r="J6" s="38" t="n">
        <f aca="false">SUMIFS($C$5:$C$404,$A$5:$A$404,"&gt;="&amp;$H6,$A$5:$A$404,"&lt;"&amp;DATE(YEAR($H6),MONTH($H6)+1,1))</f>
        <v>0</v>
      </c>
      <c r="K6" s="38" t="n">
        <f aca="false">SUMIFS($D$5:$D$404,$A$5:$A$404,"&gt;="&amp;$H6,$A$5:$A$404,"&lt;"&amp;DATE(YEAR($H6),MONTH($H6)+1,1))</f>
        <v>0</v>
      </c>
      <c r="L6" s="38" t="n">
        <f aca="false">SUMIFS($E$5:$E$404,$A$5:$A$404,"&gt;="&amp;$H6,$A$5:$A$404,"&lt;"&amp;DATE(YEAR($H6),MONTH($H6)+1,1))</f>
        <v>0</v>
      </c>
      <c r="M6" s="39" t="str">
        <f aca="false">IF(I6=0,"",L6/I6)</f>
        <v/>
      </c>
      <c r="N6" s="56" t="s">
        <v>217</v>
      </c>
    </row>
    <row r="7" customFormat="false" ht="15" hidden="false" customHeight="false" outlineLevel="0" collapsed="false">
      <c r="A7" s="52"/>
      <c r="B7" s="53"/>
      <c r="C7" s="36"/>
      <c r="D7" s="36"/>
      <c r="E7" s="36"/>
      <c r="F7" s="3"/>
      <c r="H7" s="57" t="n">
        <f aca="false">DATE(YEAR(H6),MONTH(H6)+1,1)</f>
        <v>46357</v>
      </c>
      <c r="I7" s="55" t="n">
        <f aca="false">SUMIFS($B$5:$B$404,$A$5:$A$404,"&gt;="&amp;$H7,$A$5:$A$404,"&lt;"&amp;DATE(YEAR($H7),MONTH($H7)+1,1))</f>
        <v>0</v>
      </c>
      <c r="J7" s="38" t="n">
        <f aca="false">SUMIFS($C$5:$C$404,$A$5:$A$404,"&gt;="&amp;$H7,$A$5:$A$404,"&lt;"&amp;DATE(YEAR($H7),MONTH($H7)+1,1))</f>
        <v>0</v>
      </c>
      <c r="K7" s="38" t="n">
        <f aca="false">SUMIFS($D$5:$D$404,$A$5:$A$404,"&gt;="&amp;$H7,$A$5:$A$404,"&lt;"&amp;DATE(YEAR($H7),MONTH($H7)+1,1))</f>
        <v>0</v>
      </c>
      <c r="L7" s="38" t="n">
        <f aca="false">SUMIFS($E$5:$E$404,$A$5:$A$404,"&gt;="&amp;$H7,$A$5:$A$404,"&lt;"&amp;DATE(YEAR($H7),MONTH($H7)+1,1))</f>
        <v>0</v>
      </c>
      <c r="M7" s="39" t="str">
        <f aca="false">IF(I7=0,"",L7/I7)</f>
        <v/>
      </c>
      <c r="N7" s="56" t="s">
        <v>218</v>
      </c>
    </row>
    <row r="8" customFormat="false" ht="15" hidden="false" customHeight="false" outlineLevel="0" collapsed="false">
      <c r="A8" s="52"/>
      <c r="B8" s="53"/>
      <c r="C8" s="36"/>
      <c r="D8" s="36"/>
      <c r="E8" s="36"/>
      <c r="F8" s="3"/>
      <c r="H8" s="57" t="n">
        <f aca="false">DATE(YEAR(H7),MONTH(H7)+1,1)</f>
        <v>46388</v>
      </c>
      <c r="I8" s="55" t="n">
        <f aca="false">SUMIFS($B$5:$B$404,$A$5:$A$404,"&gt;="&amp;$H8,$A$5:$A$404,"&lt;"&amp;DATE(YEAR($H8),MONTH($H8)+1,1))</f>
        <v>0</v>
      </c>
      <c r="J8" s="38" t="n">
        <f aca="false">SUMIFS($C$5:$C$404,$A$5:$A$404,"&gt;="&amp;$H8,$A$5:$A$404,"&lt;"&amp;DATE(YEAR($H8),MONTH($H8)+1,1))</f>
        <v>0</v>
      </c>
      <c r="K8" s="38" t="n">
        <f aca="false">SUMIFS($D$5:$D$404,$A$5:$A$404,"&gt;="&amp;$H8,$A$5:$A$404,"&lt;"&amp;DATE(YEAR($H8),MONTH($H8)+1,1))</f>
        <v>0</v>
      </c>
      <c r="L8" s="38" t="n">
        <f aca="false">SUMIFS($E$5:$E$404,$A$5:$A$404,"&gt;="&amp;$H8,$A$5:$A$404,"&lt;"&amp;DATE(YEAR($H8),MONTH($H8)+1,1))</f>
        <v>0</v>
      </c>
      <c r="M8" s="39" t="str">
        <f aca="false">IF(I8=0,"",L8/I8)</f>
        <v/>
      </c>
      <c r="N8" s="56" t="s">
        <v>219</v>
      </c>
    </row>
    <row r="9" customFormat="false" ht="15" hidden="false" customHeight="false" outlineLevel="0" collapsed="false">
      <c r="A9" s="52"/>
      <c r="B9" s="53"/>
      <c r="C9" s="36"/>
      <c r="D9" s="36"/>
      <c r="E9" s="36"/>
      <c r="F9" s="3"/>
      <c r="H9" s="57" t="n">
        <f aca="false">DATE(YEAR(H8),MONTH(H8)+1,1)</f>
        <v>46419</v>
      </c>
      <c r="I9" s="55" t="n">
        <f aca="false">SUMIFS($B$5:$B$404,$A$5:$A$404,"&gt;="&amp;$H9,$A$5:$A$404,"&lt;"&amp;DATE(YEAR($H9),MONTH($H9)+1,1))</f>
        <v>0</v>
      </c>
      <c r="J9" s="38" t="n">
        <f aca="false">SUMIFS($C$5:$C$404,$A$5:$A$404,"&gt;="&amp;$H9,$A$5:$A$404,"&lt;"&amp;DATE(YEAR($H9),MONTH($H9)+1,1))</f>
        <v>0</v>
      </c>
      <c r="K9" s="38" t="n">
        <f aca="false">SUMIFS($D$5:$D$404,$A$5:$A$404,"&gt;="&amp;$H9,$A$5:$A$404,"&lt;"&amp;DATE(YEAR($H9),MONTH($H9)+1,1))</f>
        <v>0</v>
      </c>
      <c r="L9" s="38" t="n">
        <f aca="false">SUMIFS($E$5:$E$404,$A$5:$A$404,"&gt;="&amp;$H9,$A$5:$A$404,"&lt;"&amp;DATE(YEAR($H9),MONTH($H9)+1,1))</f>
        <v>0</v>
      </c>
      <c r="M9" s="39" t="str">
        <f aca="false">IF(I9=0,"",L9/I9)</f>
        <v/>
      </c>
      <c r="N9" s="56" t="s">
        <v>220</v>
      </c>
    </row>
    <row r="10" customFormat="false" ht="15" hidden="false" customHeight="false" outlineLevel="0" collapsed="false">
      <c r="A10" s="52"/>
      <c r="B10" s="53"/>
      <c r="C10" s="36"/>
      <c r="D10" s="36"/>
      <c r="E10" s="36"/>
      <c r="F10" s="3"/>
      <c r="H10" s="57" t="n">
        <f aca="false">DATE(YEAR(H9),MONTH(H9)+1,1)</f>
        <v>46447</v>
      </c>
      <c r="I10" s="55" t="n">
        <f aca="false">SUMIFS($B$5:$B$404,$A$5:$A$404,"&gt;="&amp;$H10,$A$5:$A$404,"&lt;"&amp;DATE(YEAR($H10),MONTH($H10)+1,1))</f>
        <v>0</v>
      </c>
      <c r="J10" s="38" t="n">
        <f aca="false">SUMIFS($C$5:$C$404,$A$5:$A$404,"&gt;="&amp;$H10,$A$5:$A$404,"&lt;"&amp;DATE(YEAR($H10),MONTH($H10)+1,1))</f>
        <v>0</v>
      </c>
      <c r="K10" s="38" t="n">
        <f aca="false">SUMIFS($D$5:$D$404,$A$5:$A$404,"&gt;="&amp;$H10,$A$5:$A$404,"&lt;"&amp;DATE(YEAR($H10),MONTH($H10)+1,1))</f>
        <v>0</v>
      </c>
      <c r="L10" s="38" t="n">
        <f aca="false">SUMIFS($E$5:$E$404,$A$5:$A$404,"&gt;="&amp;$H10,$A$5:$A$404,"&lt;"&amp;DATE(YEAR($H10),MONTH($H10)+1,1))</f>
        <v>0</v>
      </c>
      <c r="M10" s="39" t="str">
        <f aca="false">IF(I10=0,"",L10/I10)</f>
        <v/>
      </c>
      <c r="N10" s="56" t="s">
        <v>221</v>
      </c>
    </row>
    <row r="11" customFormat="false" ht="15" hidden="false" customHeight="false" outlineLevel="0" collapsed="false">
      <c r="A11" s="52"/>
      <c r="B11" s="53"/>
      <c r="C11" s="36"/>
      <c r="D11" s="36"/>
      <c r="E11" s="36"/>
      <c r="F11" s="3"/>
      <c r="H11" s="57" t="n">
        <f aca="false">DATE(YEAR(H10),MONTH(H10)+1,1)</f>
        <v>46478</v>
      </c>
      <c r="I11" s="55" t="n">
        <f aca="false">SUMIFS($B$5:$B$404,$A$5:$A$404,"&gt;="&amp;$H11,$A$5:$A$404,"&lt;"&amp;DATE(YEAR($H11),MONTH($H11)+1,1))</f>
        <v>0</v>
      </c>
      <c r="J11" s="38" t="n">
        <f aca="false">SUMIFS($C$5:$C$404,$A$5:$A$404,"&gt;="&amp;$H11,$A$5:$A$404,"&lt;"&amp;DATE(YEAR($H11),MONTH($H11)+1,1))</f>
        <v>0</v>
      </c>
      <c r="K11" s="38" t="n">
        <f aca="false">SUMIFS($D$5:$D$404,$A$5:$A$404,"&gt;="&amp;$H11,$A$5:$A$404,"&lt;"&amp;DATE(YEAR($H11),MONTH($H11)+1,1))</f>
        <v>0</v>
      </c>
      <c r="L11" s="38" t="n">
        <f aca="false">SUMIFS($E$5:$E$404,$A$5:$A$404,"&gt;="&amp;$H11,$A$5:$A$404,"&lt;"&amp;DATE(YEAR($H11),MONTH($H11)+1,1))</f>
        <v>0</v>
      </c>
      <c r="M11" s="39" t="str">
        <f aca="false">IF(I11=0,"",L11/I11)</f>
        <v/>
      </c>
      <c r="N11" s="56" t="s">
        <v>222</v>
      </c>
    </row>
    <row r="12" customFormat="false" ht="15" hidden="false" customHeight="false" outlineLevel="0" collapsed="false">
      <c r="A12" s="52"/>
      <c r="B12" s="53"/>
      <c r="C12" s="36"/>
      <c r="D12" s="36"/>
      <c r="E12" s="36"/>
      <c r="F12" s="3"/>
      <c r="H12" s="58" t="s">
        <v>223</v>
      </c>
      <c r="I12" s="59" t="n">
        <f aca="false">SUM(I5:I11)</f>
        <v>2.5</v>
      </c>
      <c r="J12" s="39" t="n">
        <f aca="false">SUM(J5:J11)</f>
        <v>0</v>
      </c>
      <c r="K12" s="39" t="n">
        <f aca="false">SUM(K5:K11)</f>
        <v>0</v>
      </c>
      <c r="L12" s="39" t="n">
        <f aca="false">SUM(L5:L11)</f>
        <v>0</v>
      </c>
      <c r="M12" s="39" t="n">
        <f aca="false">IF(I12=0,"",L12/I12)</f>
        <v>0</v>
      </c>
    </row>
    <row r="13" customFormat="false" ht="15" hidden="false" customHeight="false" outlineLevel="0" collapsed="false">
      <c r="A13" s="52"/>
      <c r="B13" s="53"/>
      <c r="C13" s="36"/>
      <c r="D13" s="36"/>
      <c r="E13" s="36"/>
      <c r="F13" s="3"/>
      <c r="H13" s="45" t="s">
        <v>224</v>
      </c>
    </row>
    <row r="14" customFormat="false" ht="15" hidden="false" customHeight="false" outlineLevel="0" collapsed="false">
      <c r="A14" s="52"/>
      <c r="B14" s="53"/>
      <c r="C14" s="36"/>
      <c r="D14" s="36"/>
      <c r="E14" s="36"/>
      <c r="F14" s="3"/>
    </row>
    <row r="15" customFormat="false" ht="15" hidden="false" customHeight="false" outlineLevel="0" collapsed="false">
      <c r="A15" s="52"/>
      <c r="B15" s="53"/>
      <c r="C15" s="36"/>
      <c r="D15" s="36"/>
      <c r="E15" s="36"/>
      <c r="F15" s="3"/>
    </row>
    <row r="16" customFormat="false" ht="15" hidden="false" customHeight="false" outlineLevel="0" collapsed="false">
      <c r="A16" s="52"/>
      <c r="B16" s="53"/>
      <c r="C16" s="36"/>
      <c r="D16" s="36"/>
      <c r="E16" s="36"/>
      <c r="F16" s="3"/>
    </row>
    <row r="17" customFormat="false" ht="15" hidden="false" customHeight="false" outlineLevel="0" collapsed="false">
      <c r="A17" s="52"/>
      <c r="B17" s="53"/>
      <c r="C17" s="36"/>
      <c r="D17" s="36"/>
      <c r="E17" s="36"/>
      <c r="F17" s="3"/>
    </row>
    <row r="18" customFormat="false" ht="15" hidden="false" customHeight="false" outlineLevel="0" collapsed="false">
      <c r="A18" s="52"/>
      <c r="B18" s="53"/>
      <c r="C18" s="36"/>
      <c r="D18" s="36"/>
      <c r="E18" s="36"/>
      <c r="F18" s="3"/>
    </row>
    <row r="19" customFormat="false" ht="15" hidden="false" customHeight="false" outlineLevel="0" collapsed="false">
      <c r="A19" s="52"/>
      <c r="B19" s="53"/>
      <c r="C19" s="36"/>
      <c r="D19" s="36"/>
      <c r="E19" s="36"/>
      <c r="F19" s="3"/>
    </row>
    <row r="20" customFormat="false" ht="15" hidden="false" customHeight="false" outlineLevel="0" collapsed="false">
      <c r="A20" s="52"/>
      <c r="B20" s="53"/>
      <c r="C20" s="36"/>
      <c r="D20" s="36"/>
      <c r="E20" s="36"/>
      <c r="F20" s="3"/>
    </row>
    <row r="21" customFormat="false" ht="15" hidden="false" customHeight="false" outlineLevel="0" collapsed="false">
      <c r="A21" s="52"/>
      <c r="B21" s="53"/>
      <c r="C21" s="36"/>
      <c r="D21" s="36"/>
      <c r="E21" s="36"/>
      <c r="F21" s="3"/>
    </row>
    <row r="22" customFormat="false" ht="15" hidden="false" customHeight="false" outlineLevel="0" collapsed="false">
      <c r="A22" s="52"/>
      <c r="B22" s="53"/>
      <c r="C22" s="36"/>
      <c r="D22" s="36"/>
      <c r="E22" s="36"/>
      <c r="F22" s="3"/>
    </row>
    <row r="23" customFormat="false" ht="15" hidden="false" customHeight="false" outlineLevel="0" collapsed="false">
      <c r="A23" s="52"/>
      <c r="B23" s="53"/>
      <c r="C23" s="36"/>
      <c r="D23" s="36"/>
      <c r="E23" s="36"/>
      <c r="F23" s="3"/>
    </row>
    <row r="24" customFormat="false" ht="15" hidden="false" customHeight="false" outlineLevel="0" collapsed="false">
      <c r="A24" s="52"/>
      <c r="B24" s="53"/>
      <c r="C24" s="36"/>
      <c r="D24" s="36"/>
      <c r="E24" s="36"/>
      <c r="F24" s="3"/>
    </row>
    <row r="25" customFormat="false" ht="15" hidden="false" customHeight="false" outlineLevel="0" collapsed="false">
      <c r="A25" s="52"/>
      <c r="B25" s="53"/>
      <c r="C25" s="36"/>
      <c r="D25" s="36"/>
      <c r="E25" s="36"/>
      <c r="F25" s="3"/>
    </row>
    <row r="26" customFormat="false" ht="15" hidden="false" customHeight="false" outlineLevel="0" collapsed="false">
      <c r="A26" s="52"/>
      <c r="B26" s="53"/>
      <c r="C26" s="36"/>
      <c r="D26" s="36"/>
      <c r="E26" s="36"/>
      <c r="F26" s="3"/>
    </row>
    <row r="27" customFormat="false" ht="15" hidden="false" customHeight="false" outlineLevel="0" collapsed="false">
      <c r="A27" s="52"/>
      <c r="B27" s="53"/>
      <c r="C27" s="36"/>
      <c r="D27" s="36"/>
      <c r="E27" s="36"/>
      <c r="F27" s="3"/>
    </row>
    <row r="28" customFormat="false" ht="15" hidden="false" customHeight="false" outlineLevel="0" collapsed="false">
      <c r="A28" s="52"/>
      <c r="B28" s="53"/>
      <c r="C28" s="36"/>
      <c r="D28" s="36"/>
      <c r="E28" s="36"/>
      <c r="F28" s="3"/>
    </row>
    <row r="29" customFormat="false" ht="15" hidden="false" customHeight="false" outlineLevel="0" collapsed="false">
      <c r="A29" s="52"/>
      <c r="B29" s="53"/>
      <c r="C29" s="36"/>
      <c r="D29" s="36"/>
      <c r="E29" s="36"/>
      <c r="F29" s="3"/>
    </row>
    <row r="30" customFormat="false" ht="15" hidden="false" customHeight="false" outlineLevel="0" collapsed="false">
      <c r="A30" s="52"/>
      <c r="B30" s="53"/>
      <c r="C30" s="36"/>
      <c r="D30" s="36"/>
      <c r="E30" s="36"/>
      <c r="F30" s="3"/>
    </row>
    <row r="31" customFormat="false" ht="15" hidden="false" customHeight="false" outlineLevel="0" collapsed="false">
      <c r="A31" s="52"/>
      <c r="B31" s="53"/>
      <c r="C31" s="36"/>
      <c r="D31" s="36"/>
      <c r="E31" s="36"/>
      <c r="F31" s="3"/>
    </row>
    <row r="32" customFormat="false" ht="15" hidden="false" customHeight="false" outlineLevel="0" collapsed="false">
      <c r="A32" s="52"/>
      <c r="B32" s="53"/>
      <c r="C32" s="36"/>
      <c r="D32" s="36"/>
      <c r="E32" s="36"/>
      <c r="F32" s="3"/>
    </row>
    <row r="33" customFormat="false" ht="15" hidden="false" customHeight="false" outlineLevel="0" collapsed="false">
      <c r="A33" s="52"/>
      <c r="B33" s="53"/>
      <c r="C33" s="36"/>
      <c r="D33" s="36"/>
      <c r="E33" s="36"/>
      <c r="F33" s="3"/>
    </row>
    <row r="34" customFormat="false" ht="15" hidden="false" customHeight="false" outlineLevel="0" collapsed="false">
      <c r="A34" s="52"/>
      <c r="B34" s="53"/>
      <c r="C34" s="36"/>
      <c r="D34" s="36"/>
      <c r="E34" s="36"/>
      <c r="F34" s="3"/>
    </row>
    <row r="35" customFormat="false" ht="15" hidden="false" customHeight="false" outlineLevel="0" collapsed="false">
      <c r="A35" s="52"/>
      <c r="B35" s="53"/>
      <c r="C35" s="36"/>
      <c r="D35" s="36"/>
      <c r="E35" s="36"/>
      <c r="F35" s="3"/>
    </row>
    <row r="36" customFormat="false" ht="15" hidden="false" customHeight="false" outlineLevel="0" collapsed="false">
      <c r="A36" s="52"/>
      <c r="B36" s="53"/>
      <c r="C36" s="36"/>
      <c r="D36" s="36"/>
      <c r="E36" s="36"/>
      <c r="F36" s="3"/>
    </row>
    <row r="37" customFormat="false" ht="15" hidden="false" customHeight="false" outlineLevel="0" collapsed="false">
      <c r="A37" s="52"/>
      <c r="B37" s="53"/>
      <c r="C37" s="36"/>
      <c r="D37" s="36"/>
      <c r="E37" s="36"/>
      <c r="F37" s="3"/>
    </row>
    <row r="38" customFormat="false" ht="15" hidden="false" customHeight="false" outlineLevel="0" collapsed="false">
      <c r="A38" s="52"/>
      <c r="B38" s="53"/>
      <c r="C38" s="36"/>
      <c r="D38" s="36"/>
      <c r="E38" s="36"/>
      <c r="F38" s="3"/>
    </row>
    <row r="39" customFormat="false" ht="15" hidden="false" customHeight="false" outlineLevel="0" collapsed="false">
      <c r="A39" s="52"/>
      <c r="B39" s="53"/>
      <c r="C39" s="36"/>
      <c r="D39" s="36"/>
      <c r="E39" s="36"/>
      <c r="F39" s="3"/>
    </row>
    <row r="40" customFormat="false" ht="15" hidden="false" customHeight="false" outlineLevel="0" collapsed="false">
      <c r="A40" s="52"/>
      <c r="B40" s="53"/>
      <c r="C40" s="36"/>
      <c r="D40" s="36"/>
      <c r="E40" s="36"/>
      <c r="F40" s="3"/>
    </row>
    <row r="41" customFormat="false" ht="15" hidden="false" customHeight="false" outlineLevel="0" collapsed="false">
      <c r="A41" s="52"/>
      <c r="B41" s="53"/>
      <c r="C41" s="36"/>
      <c r="D41" s="36"/>
      <c r="E41" s="36"/>
      <c r="F41" s="3"/>
    </row>
    <row r="42" customFormat="false" ht="15" hidden="false" customHeight="false" outlineLevel="0" collapsed="false">
      <c r="A42" s="52"/>
      <c r="B42" s="53"/>
      <c r="C42" s="36"/>
      <c r="D42" s="36"/>
      <c r="E42" s="36"/>
      <c r="F42" s="3"/>
    </row>
    <row r="43" customFormat="false" ht="15" hidden="false" customHeight="false" outlineLevel="0" collapsed="false">
      <c r="A43" s="52"/>
      <c r="B43" s="53"/>
      <c r="C43" s="36"/>
      <c r="D43" s="36"/>
      <c r="E43" s="36"/>
      <c r="F43" s="3"/>
    </row>
    <row r="44" customFormat="false" ht="15" hidden="false" customHeight="false" outlineLevel="0" collapsed="false">
      <c r="A44" s="52"/>
      <c r="B44" s="53"/>
      <c r="C44" s="36"/>
      <c r="D44" s="36"/>
      <c r="E44" s="36"/>
      <c r="F44" s="3"/>
    </row>
    <row r="45" customFormat="false" ht="15" hidden="false" customHeight="false" outlineLevel="0" collapsed="false">
      <c r="A45" s="52"/>
      <c r="B45" s="53"/>
      <c r="C45" s="36"/>
      <c r="D45" s="36"/>
      <c r="E45" s="36"/>
      <c r="F45" s="3"/>
    </row>
    <row r="46" customFormat="false" ht="15" hidden="false" customHeight="false" outlineLevel="0" collapsed="false">
      <c r="A46" s="52"/>
      <c r="B46" s="53"/>
      <c r="C46" s="36"/>
      <c r="D46" s="36"/>
      <c r="E46" s="36"/>
      <c r="F46" s="3"/>
    </row>
    <row r="47" customFormat="false" ht="15" hidden="false" customHeight="false" outlineLevel="0" collapsed="false">
      <c r="A47" s="52"/>
      <c r="B47" s="53"/>
      <c r="C47" s="36"/>
      <c r="D47" s="36"/>
      <c r="E47" s="36"/>
      <c r="F47" s="3"/>
    </row>
    <row r="48" customFormat="false" ht="15" hidden="false" customHeight="false" outlineLevel="0" collapsed="false">
      <c r="A48" s="52"/>
      <c r="B48" s="53"/>
      <c r="C48" s="36"/>
      <c r="D48" s="36"/>
      <c r="E48" s="36"/>
      <c r="F48" s="3"/>
    </row>
    <row r="49" customFormat="false" ht="15" hidden="false" customHeight="false" outlineLevel="0" collapsed="false">
      <c r="A49" s="52"/>
      <c r="B49" s="53"/>
      <c r="C49" s="36"/>
      <c r="D49" s="36"/>
      <c r="E49" s="36"/>
      <c r="F49" s="3"/>
    </row>
    <row r="50" customFormat="false" ht="15" hidden="false" customHeight="false" outlineLevel="0" collapsed="false">
      <c r="A50" s="52"/>
      <c r="B50" s="53"/>
      <c r="C50" s="36"/>
      <c r="D50" s="36"/>
      <c r="E50" s="36"/>
      <c r="F50" s="3"/>
    </row>
    <row r="51" customFormat="false" ht="15" hidden="false" customHeight="false" outlineLevel="0" collapsed="false">
      <c r="A51" s="52"/>
      <c r="B51" s="53"/>
      <c r="C51" s="36"/>
      <c r="D51" s="36"/>
      <c r="E51" s="36"/>
      <c r="F51" s="3"/>
    </row>
    <row r="52" customFormat="false" ht="15" hidden="false" customHeight="false" outlineLevel="0" collapsed="false">
      <c r="A52" s="52"/>
      <c r="B52" s="53"/>
      <c r="C52" s="36"/>
      <c r="D52" s="36"/>
      <c r="E52" s="36"/>
      <c r="F52" s="3"/>
    </row>
    <row r="53" customFormat="false" ht="15" hidden="false" customHeight="false" outlineLevel="0" collapsed="false">
      <c r="A53" s="52"/>
      <c r="B53" s="53"/>
      <c r="C53" s="36"/>
      <c r="D53" s="36"/>
      <c r="E53" s="36"/>
      <c r="F53" s="3"/>
    </row>
    <row r="54" customFormat="false" ht="15" hidden="false" customHeight="false" outlineLevel="0" collapsed="false">
      <c r="A54" s="52"/>
      <c r="B54" s="53"/>
      <c r="C54" s="36"/>
      <c r="D54" s="36"/>
      <c r="E54" s="36"/>
      <c r="F54" s="3"/>
    </row>
    <row r="55" customFormat="false" ht="15" hidden="false" customHeight="false" outlineLevel="0" collapsed="false">
      <c r="A55" s="52"/>
      <c r="B55" s="53"/>
      <c r="C55" s="36"/>
      <c r="D55" s="36"/>
      <c r="E55" s="36"/>
      <c r="F55" s="3"/>
    </row>
    <row r="56" customFormat="false" ht="15" hidden="false" customHeight="false" outlineLevel="0" collapsed="false">
      <c r="A56" s="52"/>
      <c r="B56" s="53"/>
      <c r="C56" s="36"/>
      <c r="D56" s="36"/>
      <c r="E56" s="36"/>
      <c r="F56" s="3"/>
    </row>
    <row r="57" customFormat="false" ht="15" hidden="false" customHeight="false" outlineLevel="0" collapsed="false">
      <c r="A57" s="52"/>
      <c r="B57" s="53"/>
      <c r="C57" s="36"/>
      <c r="D57" s="36"/>
      <c r="E57" s="36"/>
      <c r="F57" s="3"/>
    </row>
    <row r="58" customFormat="false" ht="15" hidden="false" customHeight="false" outlineLevel="0" collapsed="false">
      <c r="A58" s="52"/>
      <c r="B58" s="53"/>
      <c r="C58" s="36"/>
      <c r="D58" s="36"/>
      <c r="E58" s="36"/>
      <c r="F58" s="3"/>
    </row>
    <row r="59" customFormat="false" ht="15" hidden="false" customHeight="false" outlineLevel="0" collapsed="false">
      <c r="A59" s="52"/>
      <c r="B59" s="53"/>
      <c r="C59" s="36"/>
      <c r="D59" s="36"/>
      <c r="E59" s="36"/>
      <c r="F59" s="3"/>
    </row>
    <row r="60" customFormat="false" ht="15" hidden="false" customHeight="false" outlineLevel="0" collapsed="false">
      <c r="A60" s="52"/>
      <c r="B60" s="53"/>
      <c r="C60" s="36"/>
      <c r="D60" s="36"/>
      <c r="E60" s="36"/>
      <c r="F60" s="3"/>
    </row>
    <row r="61" customFormat="false" ht="15" hidden="false" customHeight="false" outlineLevel="0" collapsed="false">
      <c r="A61" s="52"/>
      <c r="B61" s="53"/>
      <c r="C61" s="36"/>
      <c r="D61" s="36"/>
      <c r="E61" s="36"/>
      <c r="F61" s="3"/>
    </row>
    <row r="62" customFormat="false" ht="15" hidden="false" customHeight="false" outlineLevel="0" collapsed="false">
      <c r="A62" s="52"/>
      <c r="B62" s="53"/>
      <c r="C62" s="36"/>
      <c r="D62" s="36"/>
      <c r="E62" s="36"/>
      <c r="F62" s="3"/>
    </row>
    <row r="63" customFormat="false" ht="15" hidden="false" customHeight="false" outlineLevel="0" collapsed="false">
      <c r="A63" s="52"/>
      <c r="B63" s="53"/>
      <c r="C63" s="36"/>
      <c r="D63" s="36"/>
      <c r="E63" s="36"/>
      <c r="F63" s="3"/>
    </row>
    <row r="64" customFormat="false" ht="15" hidden="false" customHeight="false" outlineLevel="0" collapsed="false">
      <c r="A64" s="52"/>
      <c r="B64" s="53"/>
      <c r="C64" s="36"/>
      <c r="D64" s="36"/>
      <c r="E64" s="36"/>
      <c r="F64" s="3"/>
    </row>
    <row r="65" customFormat="false" ht="15" hidden="false" customHeight="false" outlineLevel="0" collapsed="false">
      <c r="A65" s="52"/>
      <c r="B65" s="53"/>
      <c r="C65" s="36"/>
      <c r="D65" s="36"/>
      <c r="E65" s="36"/>
      <c r="F65" s="3"/>
    </row>
    <row r="66" customFormat="false" ht="15" hidden="false" customHeight="false" outlineLevel="0" collapsed="false">
      <c r="A66" s="52"/>
      <c r="B66" s="53"/>
      <c r="C66" s="36"/>
      <c r="D66" s="36"/>
      <c r="E66" s="36"/>
      <c r="F66" s="3"/>
    </row>
    <row r="67" customFormat="false" ht="15" hidden="false" customHeight="false" outlineLevel="0" collapsed="false">
      <c r="A67" s="52"/>
      <c r="B67" s="53"/>
      <c r="C67" s="36"/>
      <c r="D67" s="36"/>
      <c r="E67" s="36"/>
      <c r="F67" s="3"/>
    </row>
    <row r="68" customFormat="false" ht="15" hidden="false" customHeight="false" outlineLevel="0" collapsed="false">
      <c r="A68" s="52"/>
      <c r="B68" s="53"/>
      <c r="C68" s="36"/>
      <c r="D68" s="36"/>
      <c r="E68" s="36"/>
      <c r="F68" s="3"/>
    </row>
    <row r="69" customFormat="false" ht="15" hidden="false" customHeight="false" outlineLevel="0" collapsed="false">
      <c r="A69" s="52"/>
      <c r="B69" s="53"/>
      <c r="C69" s="36"/>
      <c r="D69" s="36"/>
      <c r="E69" s="36"/>
      <c r="F69" s="3"/>
    </row>
    <row r="70" customFormat="false" ht="15" hidden="false" customHeight="false" outlineLevel="0" collapsed="false">
      <c r="A70" s="52"/>
      <c r="B70" s="53"/>
      <c r="C70" s="36"/>
      <c r="D70" s="36"/>
      <c r="E70" s="36"/>
      <c r="F70" s="3"/>
    </row>
    <row r="71" customFormat="false" ht="15" hidden="false" customHeight="false" outlineLevel="0" collapsed="false">
      <c r="A71" s="52"/>
      <c r="B71" s="53"/>
      <c r="C71" s="36"/>
      <c r="D71" s="36"/>
      <c r="E71" s="36"/>
      <c r="F71" s="3"/>
    </row>
    <row r="72" customFormat="false" ht="15" hidden="false" customHeight="false" outlineLevel="0" collapsed="false">
      <c r="A72" s="52"/>
      <c r="B72" s="53"/>
      <c r="C72" s="36"/>
      <c r="D72" s="36"/>
      <c r="E72" s="36"/>
      <c r="F72" s="3"/>
    </row>
    <row r="73" customFormat="false" ht="15" hidden="false" customHeight="false" outlineLevel="0" collapsed="false">
      <c r="A73" s="52"/>
      <c r="B73" s="53"/>
      <c r="C73" s="36"/>
      <c r="D73" s="36"/>
      <c r="E73" s="36"/>
      <c r="F73" s="3"/>
    </row>
    <row r="74" customFormat="false" ht="15" hidden="false" customHeight="false" outlineLevel="0" collapsed="false">
      <c r="A74" s="52"/>
      <c r="B74" s="53"/>
      <c r="C74" s="36"/>
      <c r="D74" s="36"/>
      <c r="E74" s="36"/>
      <c r="F74" s="3"/>
    </row>
    <row r="75" customFormat="false" ht="15" hidden="false" customHeight="false" outlineLevel="0" collapsed="false">
      <c r="A75" s="52"/>
      <c r="B75" s="53"/>
      <c r="C75" s="36"/>
      <c r="D75" s="36"/>
      <c r="E75" s="36"/>
      <c r="F75" s="3"/>
    </row>
    <row r="76" customFormat="false" ht="15" hidden="false" customHeight="false" outlineLevel="0" collapsed="false">
      <c r="A76" s="52"/>
      <c r="B76" s="53"/>
      <c r="C76" s="36"/>
      <c r="D76" s="36"/>
      <c r="E76" s="36"/>
      <c r="F76" s="3"/>
    </row>
    <row r="77" customFormat="false" ht="15" hidden="false" customHeight="false" outlineLevel="0" collapsed="false">
      <c r="A77" s="52"/>
      <c r="B77" s="53"/>
      <c r="C77" s="36"/>
      <c r="D77" s="36"/>
      <c r="E77" s="36"/>
      <c r="F77" s="3"/>
    </row>
    <row r="78" customFormat="false" ht="15" hidden="false" customHeight="false" outlineLevel="0" collapsed="false">
      <c r="A78" s="52"/>
      <c r="B78" s="53"/>
      <c r="C78" s="36"/>
      <c r="D78" s="36"/>
      <c r="E78" s="36"/>
      <c r="F78" s="3"/>
    </row>
    <row r="79" customFormat="false" ht="15" hidden="false" customHeight="false" outlineLevel="0" collapsed="false">
      <c r="A79" s="52"/>
      <c r="B79" s="53"/>
      <c r="C79" s="36"/>
      <c r="D79" s="36"/>
      <c r="E79" s="36"/>
      <c r="F79" s="3"/>
    </row>
    <row r="80" customFormat="false" ht="15" hidden="false" customHeight="false" outlineLevel="0" collapsed="false">
      <c r="A80" s="52"/>
      <c r="B80" s="53"/>
      <c r="C80" s="36"/>
      <c r="D80" s="36"/>
      <c r="E80" s="36"/>
      <c r="F80" s="3"/>
    </row>
    <row r="81" customFormat="false" ht="15" hidden="false" customHeight="false" outlineLevel="0" collapsed="false">
      <c r="A81" s="52"/>
      <c r="B81" s="53"/>
      <c r="C81" s="36"/>
      <c r="D81" s="36"/>
      <c r="E81" s="36"/>
      <c r="F81" s="3"/>
    </row>
    <row r="82" customFormat="false" ht="15" hidden="false" customHeight="false" outlineLevel="0" collapsed="false">
      <c r="A82" s="52"/>
      <c r="B82" s="53"/>
      <c r="C82" s="36"/>
      <c r="D82" s="36"/>
      <c r="E82" s="36"/>
      <c r="F82" s="3"/>
    </row>
    <row r="83" customFormat="false" ht="15" hidden="false" customHeight="false" outlineLevel="0" collapsed="false">
      <c r="A83" s="52"/>
      <c r="B83" s="53"/>
      <c r="C83" s="36"/>
      <c r="D83" s="36"/>
      <c r="E83" s="36"/>
      <c r="F83" s="3"/>
    </row>
    <row r="84" customFormat="false" ht="15" hidden="false" customHeight="false" outlineLevel="0" collapsed="false">
      <c r="A84" s="52"/>
      <c r="B84" s="53"/>
      <c r="C84" s="36"/>
      <c r="D84" s="36"/>
      <c r="E84" s="36"/>
      <c r="F84" s="3"/>
    </row>
    <row r="85" customFormat="false" ht="15" hidden="false" customHeight="false" outlineLevel="0" collapsed="false">
      <c r="A85" s="52"/>
      <c r="B85" s="53"/>
      <c r="C85" s="36"/>
      <c r="D85" s="36"/>
      <c r="E85" s="36"/>
      <c r="F85" s="3"/>
    </row>
    <row r="86" customFormat="false" ht="15" hidden="false" customHeight="false" outlineLevel="0" collapsed="false">
      <c r="A86" s="52"/>
      <c r="B86" s="53"/>
      <c r="C86" s="36"/>
      <c r="D86" s="36"/>
      <c r="E86" s="36"/>
      <c r="F86" s="3"/>
    </row>
    <row r="87" customFormat="false" ht="15" hidden="false" customHeight="false" outlineLevel="0" collapsed="false">
      <c r="A87" s="52"/>
      <c r="B87" s="53"/>
      <c r="C87" s="36"/>
      <c r="D87" s="36"/>
      <c r="E87" s="36"/>
      <c r="F87" s="3"/>
    </row>
    <row r="88" customFormat="false" ht="15" hidden="false" customHeight="false" outlineLevel="0" collapsed="false">
      <c r="A88" s="52"/>
      <c r="B88" s="53"/>
      <c r="C88" s="36"/>
      <c r="D88" s="36"/>
      <c r="E88" s="36"/>
      <c r="F88" s="3"/>
    </row>
    <row r="89" customFormat="false" ht="15" hidden="false" customHeight="false" outlineLevel="0" collapsed="false">
      <c r="A89" s="52"/>
      <c r="B89" s="53"/>
      <c r="C89" s="36"/>
      <c r="D89" s="36"/>
      <c r="E89" s="36"/>
      <c r="F89" s="3"/>
    </row>
    <row r="90" customFormat="false" ht="15" hidden="false" customHeight="false" outlineLevel="0" collapsed="false">
      <c r="A90" s="52"/>
      <c r="B90" s="53"/>
      <c r="C90" s="36"/>
      <c r="D90" s="36"/>
      <c r="E90" s="36"/>
      <c r="F90" s="3"/>
    </row>
    <row r="91" customFormat="false" ht="15" hidden="false" customHeight="false" outlineLevel="0" collapsed="false">
      <c r="A91" s="52"/>
      <c r="B91" s="53"/>
      <c r="C91" s="36"/>
      <c r="D91" s="36"/>
      <c r="E91" s="36"/>
      <c r="F91" s="3"/>
    </row>
    <row r="92" customFormat="false" ht="15" hidden="false" customHeight="false" outlineLevel="0" collapsed="false">
      <c r="A92" s="52"/>
      <c r="B92" s="53"/>
      <c r="C92" s="36"/>
      <c r="D92" s="36"/>
      <c r="E92" s="36"/>
      <c r="F92" s="3"/>
    </row>
    <row r="93" customFormat="false" ht="15" hidden="false" customHeight="false" outlineLevel="0" collapsed="false">
      <c r="A93" s="52"/>
      <c r="B93" s="53"/>
      <c r="C93" s="36"/>
      <c r="D93" s="36"/>
      <c r="E93" s="36"/>
      <c r="F93" s="3"/>
    </row>
    <row r="94" customFormat="false" ht="15" hidden="false" customHeight="false" outlineLevel="0" collapsed="false">
      <c r="A94" s="52"/>
      <c r="B94" s="53"/>
      <c r="C94" s="36"/>
      <c r="D94" s="36"/>
      <c r="E94" s="36"/>
      <c r="F94" s="3"/>
    </row>
    <row r="95" customFormat="false" ht="15" hidden="false" customHeight="false" outlineLevel="0" collapsed="false">
      <c r="A95" s="52"/>
      <c r="B95" s="53"/>
      <c r="C95" s="36"/>
      <c r="D95" s="36"/>
      <c r="E95" s="36"/>
      <c r="F95" s="3"/>
    </row>
    <row r="96" customFormat="false" ht="15" hidden="false" customHeight="false" outlineLevel="0" collapsed="false">
      <c r="A96" s="52"/>
      <c r="B96" s="53"/>
      <c r="C96" s="36"/>
      <c r="D96" s="36"/>
      <c r="E96" s="36"/>
      <c r="F96" s="3"/>
    </row>
    <row r="97" customFormat="false" ht="15" hidden="false" customHeight="false" outlineLevel="0" collapsed="false">
      <c r="A97" s="52"/>
      <c r="B97" s="53"/>
      <c r="C97" s="36"/>
      <c r="D97" s="36"/>
      <c r="E97" s="36"/>
      <c r="F97" s="3"/>
    </row>
    <row r="98" customFormat="false" ht="15" hidden="false" customHeight="false" outlineLevel="0" collapsed="false">
      <c r="A98" s="52"/>
      <c r="B98" s="53"/>
      <c r="C98" s="36"/>
      <c r="D98" s="36"/>
      <c r="E98" s="36"/>
      <c r="F98" s="3"/>
    </row>
    <row r="99" customFormat="false" ht="15" hidden="false" customHeight="false" outlineLevel="0" collapsed="false">
      <c r="A99" s="52"/>
      <c r="B99" s="53"/>
      <c r="C99" s="36"/>
      <c r="D99" s="36"/>
      <c r="E99" s="36"/>
      <c r="F99" s="3"/>
    </row>
    <row r="100" customFormat="false" ht="15" hidden="false" customHeight="false" outlineLevel="0" collapsed="false">
      <c r="A100" s="52"/>
      <c r="B100" s="53"/>
      <c r="C100" s="36"/>
      <c r="D100" s="36"/>
      <c r="E100" s="36"/>
      <c r="F100" s="3"/>
    </row>
    <row r="101" customFormat="false" ht="15" hidden="false" customHeight="false" outlineLevel="0" collapsed="false">
      <c r="A101" s="52"/>
      <c r="B101" s="53"/>
      <c r="C101" s="36"/>
      <c r="D101" s="36"/>
      <c r="E101" s="36"/>
      <c r="F101" s="3"/>
    </row>
    <row r="102" customFormat="false" ht="15" hidden="false" customHeight="false" outlineLevel="0" collapsed="false">
      <c r="A102" s="52"/>
      <c r="B102" s="53"/>
      <c r="C102" s="36"/>
      <c r="D102" s="36"/>
      <c r="E102" s="36"/>
      <c r="F102" s="3"/>
    </row>
    <row r="103" customFormat="false" ht="15" hidden="false" customHeight="false" outlineLevel="0" collapsed="false">
      <c r="A103" s="52"/>
      <c r="B103" s="53"/>
      <c r="C103" s="36"/>
      <c r="D103" s="36"/>
      <c r="E103" s="36"/>
      <c r="F103" s="3"/>
    </row>
    <row r="104" customFormat="false" ht="15" hidden="false" customHeight="false" outlineLevel="0" collapsed="false">
      <c r="A104" s="52"/>
      <c r="B104" s="53"/>
      <c r="C104" s="36"/>
      <c r="D104" s="36"/>
      <c r="E104" s="36"/>
      <c r="F104" s="3"/>
    </row>
    <row r="105" customFormat="false" ht="15" hidden="false" customHeight="false" outlineLevel="0" collapsed="false">
      <c r="A105" s="52"/>
      <c r="B105" s="53"/>
      <c r="C105" s="36"/>
      <c r="D105" s="36"/>
      <c r="E105" s="36"/>
      <c r="F105" s="3"/>
    </row>
    <row r="106" customFormat="false" ht="15" hidden="false" customHeight="false" outlineLevel="0" collapsed="false">
      <c r="A106" s="52"/>
      <c r="B106" s="53"/>
      <c r="C106" s="36"/>
      <c r="D106" s="36"/>
      <c r="E106" s="36"/>
      <c r="F106" s="3"/>
    </row>
    <row r="107" customFormat="false" ht="15" hidden="false" customHeight="false" outlineLevel="0" collapsed="false">
      <c r="A107" s="52"/>
      <c r="B107" s="53"/>
      <c r="C107" s="36"/>
      <c r="D107" s="36"/>
      <c r="E107" s="36"/>
      <c r="F107" s="3"/>
    </row>
    <row r="108" customFormat="false" ht="15" hidden="false" customHeight="false" outlineLevel="0" collapsed="false">
      <c r="A108" s="52"/>
      <c r="B108" s="53"/>
      <c r="C108" s="36"/>
      <c r="D108" s="36"/>
      <c r="E108" s="36"/>
      <c r="F108" s="3"/>
    </row>
    <row r="109" customFormat="false" ht="15" hidden="false" customHeight="false" outlineLevel="0" collapsed="false">
      <c r="A109" s="52"/>
      <c r="B109" s="53"/>
      <c r="C109" s="36"/>
      <c r="D109" s="36"/>
      <c r="E109" s="36"/>
      <c r="F109" s="3"/>
    </row>
    <row r="110" customFormat="false" ht="15" hidden="false" customHeight="false" outlineLevel="0" collapsed="false">
      <c r="A110" s="52"/>
      <c r="B110" s="53"/>
      <c r="C110" s="36"/>
      <c r="D110" s="36"/>
      <c r="E110" s="36"/>
      <c r="F110" s="3"/>
    </row>
    <row r="111" customFormat="false" ht="15" hidden="false" customHeight="false" outlineLevel="0" collapsed="false">
      <c r="A111" s="52"/>
      <c r="B111" s="53"/>
      <c r="C111" s="36"/>
      <c r="D111" s="36"/>
      <c r="E111" s="36"/>
      <c r="F111" s="3"/>
    </row>
    <row r="112" customFormat="false" ht="15" hidden="false" customHeight="false" outlineLevel="0" collapsed="false">
      <c r="A112" s="52"/>
      <c r="B112" s="53"/>
      <c r="C112" s="36"/>
      <c r="D112" s="36"/>
      <c r="E112" s="36"/>
      <c r="F112" s="3"/>
    </row>
    <row r="113" customFormat="false" ht="15" hidden="false" customHeight="false" outlineLevel="0" collapsed="false">
      <c r="A113" s="52"/>
      <c r="B113" s="53"/>
      <c r="C113" s="36"/>
      <c r="D113" s="36"/>
      <c r="E113" s="36"/>
      <c r="F113" s="3"/>
    </row>
    <row r="114" customFormat="false" ht="15" hidden="false" customHeight="false" outlineLevel="0" collapsed="false">
      <c r="A114" s="52"/>
      <c r="B114" s="53"/>
      <c r="C114" s="36"/>
      <c r="D114" s="36"/>
      <c r="E114" s="36"/>
      <c r="F114" s="3"/>
    </row>
    <row r="115" customFormat="false" ht="15" hidden="false" customHeight="false" outlineLevel="0" collapsed="false">
      <c r="A115" s="52"/>
      <c r="B115" s="53"/>
      <c r="C115" s="36"/>
      <c r="D115" s="36"/>
      <c r="E115" s="36"/>
      <c r="F115" s="3"/>
    </row>
    <row r="116" customFormat="false" ht="15" hidden="false" customHeight="false" outlineLevel="0" collapsed="false">
      <c r="A116" s="52"/>
      <c r="B116" s="53"/>
      <c r="C116" s="36"/>
      <c r="D116" s="36"/>
      <c r="E116" s="36"/>
      <c r="F116" s="3"/>
    </row>
    <row r="117" customFormat="false" ht="15" hidden="false" customHeight="false" outlineLevel="0" collapsed="false">
      <c r="A117" s="52"/>
      <c r="B117" s="53"/>
      <c r="C117" s="36"/>
      <c r="D117" s="36"/>
      <c r="E117" s="36"/>
      <c r="F117" s="3"/>
    </row>
    <row r="118" customFormat="false" ht="15" hidden="false" customHeight="false" outlineLevel="0" collapsed="false">
      <c r="A118" s="52"/>
      <c r="B118" s="53"/>
      <c r="C118" s="36"/>
      <c r="D118" s="36"/>
      <c r="E118" s="36"/>
      <c r="F118" s="3"/>
    </row>
    <row r="119" customFormat="false" ht="15" hidden="false" customHeight="false" outlineLevel="0" collapsed="false">
      <c r="A119" s="52"/>
      <c r="B119" s="53"/>
      <c r="C119" s="36"/>
      <c r="D119" s="36"/>
      <c r="E119" s="36"/>
      <c r="F119" s="3"/>
    </row>
    <row r="120" customFormat="false" ht="15" hidden="false" customHeight="false" outlineLevel="0" collapsed="false">
      <c r="A120" s="52"/>
      <c r="B120" s="53"/>
      <c r="C120" s="36"/>
      <c r="D120" s="36"/>
      <c r="E120" s="36"/>
      <c r="F120" s="3"/>
    </row>
    <row r="121" customFormat="false" ht="15" hidden="false" customHeight="false" outlineLevel="0" collapsed="false">
      <c r="A121" s="52"/>
      <c r="B121" s="53"/>
      <c r="C121" s="36"/>
      <c r="D121" s="36"/>
      <c r="E121" s="36"/>
      <c r="F121" s="3"/>
    </row>
    <row r="122" customFormat="false" ht="15" hidden="false" customHeight="false" outlineLevel="0" collapsed="false">
      <c r="A122" s="52"/>
      <c r="B122" s="53"/>
      <c r="C122" s="36"/>
      <c r="D122" s="36"/>
      <c r="E122" s="36"/>
      <c r="F122" s="3"/>
    </row>
    <row r="123" customFormat="false" ht="15" hidden="false" customHeight="false" outlineLevel="0" collapsed="false">
      <c r="A123" s="52"/>
      <c r="B123" s="53"/>
      <c r="C123" s="36"/>
      <c r="D123" s="36"/>
      <c r="E123" s="36"/>
      <c r="F123" s="3"/>
    </row>
    <row r="124" customFormat="false" ht="15" hidden="false" customHeight="false" outlineLevel="0" collapsed="false">
      <c r="A124" s="52"/>
      <c r="B124" s="53"/>
      <c r="C124" s="36"/>
      <c r="D124" s="36"/>
      <c r="E124" s="36"/>
      <c r="F124" s="3"/>
    </row>
    <row r="125" customFormat="false" ht="15" hidden="false" customHeight="false" outlineLevel="0" collapsed="false">
      <c r="A125" s="52"/>
      <c r="B125" s="53"/>
      <c r="C125" s="36"/>
      <c r="D125" s="36"/>
      <c r="E125" s="36"/>
      <c r="F125" s="3"/>
    </row>
    <row r="126" customFormat="false" ht="15" hidden="false" customHeight="false" outlineLevel="0" collapsed="false">
      <c r="A126" s="52"/>
      <c r="B126" s="53"/>
      <c r="C126" s="36"/>
      <c r="D126" s="36"/>
      <c r="E126" s="36"/>
      <c r="F126" s="3"/>
    </row>
    <row r="127" customFormat="false" ht="15" hidden="false" customHeight="false" outlineLevel="0" collapsed="false">
      <c r="A127" s="52"/>
      <c r="B127" s="53"/>
      <c r="C127" s="36"/>
      <c r="D127" s="36"/>
      <c r="E127" s="36"/>
      <c r="F127" s="3"/>
    </row>
    <row r="128" customFormat="false" ht="15" hidden="false" customHeight="false" outlineLevel="0" collapsed="false">
      <c r="A128" s="52"/>
      <c r="B128" s="53"/>
      <c r="C128" s="36"/>
      <c r="D128" s="36"/>
      <c r="E128" s="36"/>
      <c r="F128" s="3"/>
    </row>
    <row r="129" customFormat="false" ht="15" hidden="false" customHeight="false" outlineLevel="0" collapsed="false">
      <c r="A129" s="52"/>
      <c r="B129" s="53"/>
      <c r="C129" s="36"/>
      <c r="D129" s="36"/>
      <c r="E129" s="36"/>
      <c r="F129" s="3"/>
    </row>
    <row r="130" customFormat="false" ht="15" hidden="false" customHeight="false" outlineLevel="0" collapsed="false">
      <c r="A130" s="52"/>
      <c r="B130" s="53"/>
      <c r="C130" s="36"/>
      <c r="D130" s="36"/>
      <c r="E130" s="36"/>
      <c r="F130" s="3"/>
    </row>
    <row r="131" customFormat="false" ht="15" hidden="false" customHeight="false" outlineLevel="0" collapsed="false">
      <c r="A131" s="52"/>
      <c r="B131" s="53"/>
      <c r="C131" s="36"/>
      <c r="D131" s="36"/>
      <c r="E131" s="36"/>
      <c r="F131" s="3"/>
    </row>
    <row r="132" customFormat="false" ht="15" hidden="false" customHeight="false" outlineLevel="0" collapsed="false">
      <c r="A132" s="52"/>
      <c r="B132" s="53"/>
      <c r="C132" s="36"/>
      <c r="D132" s="36"/>
      <c r="E132" s="36"/>
      <c r="F132" s="3"/>
    </row>
    <row r="133" customFormat="false" ht="15" hidden="false" customHeight="false" outlineLevel="0" collapsed="false">
      <c r="A133" s="52"/>
      <c r="B133" s="53"/>
      <c r="C133" s="36"/>
      <c r="D133" s="36"/>
      <c r="E133" s="36"/>
      <c r="F133" s="3"/>
    </row>
    <row r="134" customFormat="false" ht="15" hidden="false" customHeight="false" outlineLevel="0" collapsed="false">
      <c r="A134" s="52"/>
      <c r="B134" s="53"/>
      <c r="C134" s="36"/>
      <c r="D134" s="36"/>
      <c r="E134" s="36"/>
      <c r="F134" s="3"/>
    </row>
    <row r="135" customFormat="false" ht="15" hidden="false" customHeight="false" outlineLevel="0" collapsed="false">
      <c r="A135" s="52"/>
      <c r="B135" s="53"/>
      <c r="C135" s="36"/>
      <c r="D135" s="36"/>
      <c r="E135" s="36"/>
      <c r="F135" s="3"/>
    </row>
    <row r="136" customFormat="false" ht="15" hidden="false" customHeight="false" outlineLevel="0" collapsed="false">
      <c r="A136" s="52"/>
      <c r="B136" s="53"/>
      <c r="C136" s="36"/>
      <c r="D136" s="36"/>
      <c r="E136" s="36"/>
      <c r="F136" s="3"/>
    </row>
    <row r="137" customFormat="false" ht="15" hidden="false" customHeight="false" outlineLevel="0" collapsed="false">
      <c r="A137" s="52"/>
      <c r="B137" s="53"/>
      <c r="C137" s="36"/>
      <c r="D137" s="36"/>
      <c r="E137" s="36"/>
      <c r="F137" s="3"/>
    </row>
    <row r="138" customFormat="false" ht="15" hidden="false" customHeight="false" outlineLevel="0" collapsed="false">
      <c r="A138" s="52"/>
      <c r="B138" s="53"/>
      <c r="C138" s="36"/>
      <c r="D138" s="36"/>
      <c r="E138" s="36"/>
      <c r="F138" s="3"/>
    </row>
    <row r="139" customFormat="false" ht="15" hidden="false" customHeight="false" outlineLevel="0" collapsed="false">
      <c r="A139" s="52"/>
      <c r="B139" s="53"/>
      <c r="C139" s="36"/>
      <c r="D139" s="36"/>
      <c r="E139" s="36"/>
      <c r="F139" s="3"/>
    </row>
    <row r="140" customFormat="false" ht="15" hidden="false" customHeight="false" outlineLevel="0" collapsed="false">
      <c r="A140" s="52"/>
      <c r="B140" s="53"/>
      <c r="C140" s="36"/>
      <c r="D140" s="36"/>
      <c r="E140" s="36"/>
      <c r="F140" s="3"/>
    </row>
    <row r="141" customFormat="false" ht="15" hidden="false" customHeight="false" outlineLevel="0" collapsed="false">
      <c r="A141" s="52"/>
      <c r="B141" s="53"/>
      <c r="C141" s="36"/>
      <c r="D141" s="36"/>
      <c r="E141" s="36"/>
      <c r="F141" s="3"/>
    </row>
    <row r="142" customFormat="false" ht="15" hidden="false" customHeight="false" outlineLevel="0" collapsed="false">
      <c r="A142" s="52"/>
      <c r="B142" s="53"/>
      <c r="C142" s="36"/>
      <c r="D142" s="36"/>
      <c r="E142" s="36"/>
      <c r="F142" s="3"/>
    </row>
    <row r="143" customFormat="false" ht="15" hidden="false" customHeight="false" outlineLevel="0" collapsed="false">
      <c r="A143" s="52"/>
      <c r="B143" s="53"/>
      <c r="C143" s="36"/>
      <c r="D143" s="36"/>
      <c r="E143" s="36"/>
      <c r="F143" s="3"/>
    </row>
    <row r="144" customFormat="false" ht="15" hidden="false" customHeight="false" outlineLevel="0" collapsed="false">
      <c r="A144" s="52"/>
      <c r="B144" s="53"/>
      <c r="C144" s="36"/>
      <c r="D144" s="36"/>
      <c r="E144" s="36"/>
      <c r="F144" s="3"/>
    </row>
    <row r="145" customFormat="false" ht="15" hidden="false" customHeight="false" outlineLevel="0" collapsed="false">
      <c r="A145" s="52"/>
      <c r="B145" s="53"/>
      <c r="C145" s="36"/>
      <c r="D145" s="36"/>
      <c r="E145" s="36"/>
      <c r="F145" s="3"/>
    </row>
    <row r="146" customFormat="false" ht="15" hidden="false" customHeight="false" outlineLevel="0" collapsed="false">
      <c r="A146" s="52"/>
      <c r="B146" s="53"/>
      <c r="C146" s="36"/>
      <c r="D146" s="36"/>
      <c r="E146" s="36"/>
      <c r="F146" s="3"/>
    </row>
    <row r="147" customFormat="false" ht="15" hidden="false" customHeight="false" outlineLevel="0" collapsed="false">
      <c r="A147" s="52"/>
      <c r="B147" s="53"/>
      <c r="C147" s="36"/>
      <c r="D147" s="36"/>
      <c r="E147" s="36"/>
      <c r="F147" s="3"/>
    </row>
    <row r="148" customFormat="false" ht="15" hidden="false" customHeight="false" outlineLevel="0" collapsed="false">
      <c r="A148" s="52"/>
      <c r="B148" s="53"/>
      <c r="C148" s="36"/>
      <c r="D148" s="36"/>
      <c r="E148" s="36"/>
      <c r="F148" s="3"/>
    </row>
    <row r="149" customFormat="false" ht="15" hidden="false" customHeight="false" outlineLevel="0" collapsed="false">
      <c r="A149" s="52"/>
      <c r="B149" s="53"/>
      <c r="C149" s="36"/>
      <c r="D149" s="36"/>
      <c r="E149" s="36"/>
      <c r="F149" s="3"/>
    </row>
    <row r="150" customFormat="false" ht="15" hidden="false" customHeight="false" outlineLevel="0" collapsed="false">
      <c r="A150" s="52"/>
      <c r="B150" s="53"/>
      <c r="C150" s="36"/>
      <c r="D150" s="36"/>
      <c r="E150" s="36"/>
      <c r="F150" s="3"/>
    </row>
    <row r="151" customFormat="false" ht="15" hidden="false" customHeight="false" outlineLevel="0" collapsed="false">
      <c r="A151" s="52"/>
      <c r="B151" s="53"/>
      <c r="C151" s="36"/>
      <c r="D151" s="36"/>
      <c r="E151" s="36"/>
      <c r="F151" s="3"/>
    </row>
    <row r="152" customFormat="false" ht="15" hidden="false" customHeight="false" outlineLevel="0" collapsed="false">
      <c r="A152" s="52"/>
      <c r="B152" s="53"/>
      <c r="C152" s="36"/>
      <c r="D152" s="36"/>
      <c r="E152" s="36"/>
      <c r="F152" s="3"/>
    </row>
    <row r="153" customFormat="false" ht="15" hidden="false" customHeight="false" outlineLevel="0" collapsed="false">
      <c r="A153" s="52"/>
      <c r="B153" s="53"/>
      <c r="C153" s="36"/>
      <c r="D153" s="36"/>
      <c r="E153" s="36"/>
      <c r="F153" s="3"/>
    </row>
    <row r="154" customFormat="false" ht="15" hidden="false" customHeight="false" outlineLevel="0" collapsed="false">
      <c r="A154" s="52"/>
      <c r="B154" s="53"/>
      <c r="C154" s="36"/>
      <c r="D154" s="36"/>
      <c r="E154" s="36"/>
      <c r="F154" s="3"/>
    </row>
    <row r="155" customFormat="false" ht="15" hidden="false" customHeight="false" outlineLevel="0" collapsed="false">
      <c r="A155" s="52"/>
      <c r="B155" s="53"/>
      <c r="C155" s="36"/>
      <c r="D155" s="36"/>
      <c r="E155" s="36"/>
      <c r="F155" s="3"/>
    </row>
    <row r="156" customFormat="false" ht="15" hidden="false" customHeight="false" outlineLevel="0" collapsed="false">
      <c r="A156" s="52"/>
      <c r="B156" s="53"/>
      <c r="C156" s="36"/>
      <c r="D156" s="36"/>
      <c r="E156" s="36"/>
      <c r="F156" s="3"/>
    </row>
    <row r="157" customFormat="false" ht="15" hidden="false" customHeight="false" outlineLevel="0" collapsed="false">
      <c r="A157" s="52"/>
      <c r="B157" s="53"/>
      <c r="C157" s="36"/>
      <c r="D157" s="36"/>
      <c r="E157" s="36"/>
      <c r="F157" s="3"/>
    </row>
    <row r="158" customFormat="false" ht="15" hidden="false" customHeight="false" outlineLevel="0" collapsed="false">
      <c r="A158" s="52"/>
      <c r="B158" s="53"/>
      <c r="C158" s="36"/>
      <c r="D158" s="36"/>
      <c r="E158" s="36"/>
      <c r="F158" s="3"/>
    </row>
    <row r="159" customFormat="false" ht="15" hidden="false" customHeight="false" outlineLevel="0" collapsed="false">
      <c r="A159" s="52"/>
      <c r="B159" s="53"/>
      <c r="C159" s="36"/>
      <c r="D159" s="36"/>
      <c r="E159" s="36"/>
      <c r="F159" s="3"/>
    </row>
    <row r="160" customFormat="false" ht="15" hidden="false" customHeight="false" outlineLevel="0" collapsed="false">
      <c r="A160" s="52"/>
      <c r="B160" s="53"/>
      <c r="C160" s="36"/>
      <c r="D160" s="36"/>
      <c r="E160" s="36"/>
      <c r="F160" s="3"/>
    </row>
    <row r="161" customFormat="false" ht="15" hidden="false" customHeight="false" outlineLevel="0" collapsed="false">
      <c r="A161" s="52"/>
      <c r="B161" s="53"/>
      <c r="C161" s="36"/>
      <c r="D161" s="36"/>
      <c r="E161" s="36"/>
      <c r="F161" s="3"/>
    </row>
    <row r="162" customFormat="false" ht="15" hidden="false" customHeight="false" outlineLevel="0" collapsed="false">
      <c r="A162" s="52"/>
      <c r="B162" s="53"/>
      <c r="C162" s="36"/>
      <c r="D162" s="36"/>
      <c r="E162" s="36"/>
      <c r="F162" s="3"/>
    </row>
    <row r="163" customFormat="false" ht="15" hidden="false" customHeight="false" outlineLevel="0" collapsed="false">
      <c r="A163" s="52"/>
      <c r="B163" s="53"/>
      <c r="C163" s="36"/>
      <c r="D163" s="36"/>
      <c r="E163" s="36"/>
      <c r="F163" s="3"/>
    </row>
    <row r="164" customFormat="false" ht="15" hidden="false" customHeight="false" outlineLevel="0" collapsed="false">
      <c r="A164" s="52"/>
      <c r="B164" s="53"/>
      <c r="C164" s="36"/>
      <c r="D164" s="36"/>
      <c r="E164" s="36"/>
      <c r="F164" s="3"/>
    </row>
    <row r="165" customFormat="false" ht="15" hidden="false" customHeight="false" outlineLevel="0" collapsed="false">
      <c r="A165" s="52"/>
      <c r="B165" s="53"/>
      <c r="C165" s="36"/>
      <c r="D165" s="36"/>
      <c r="E165" s="36"/>
      <c r="F165" s="3"/>
    </row>
    <row r="166" customFormat="false" ht="15" hidden="false" customHeight="false" outlineLevel="0" collapsed="false">
      <c r="A166" s="52"/>
      <c r="B166" s="53"/>
      <c r="C166" s="36"/>
      <c r="D166" s="36"/>
      <c r="E166" s="36"/>
      <c r="F166" s="3"/>
    </row>
    <row r="167" customFormat="false" ht="15" hidden="false" customHeight="false" outlineLevel="0" collapsed="false">
      <c r="A167" s="52"/>
      <c r="B167" s="53"/>
      <c r="C167" s="36"/>
      <c r="D167" s="36"/>
      <c r="E167" s="36"/>
      <c r="F167" s="3"/>
    </row>
    <row r="168" customFormat="false" ht="15" hidden="false" customHeight="false" outlineLevel="0" collapsed="false">
      <c r="A168" s="52"/>
      <c r="B168" s="53"/>
      <c r="C168" s="36"/>
      <c r="D168" s="36"/>
      <c r="E168" s="36"/>
      <c r="F168" s="3"/>
    </row>
    <row r="169" customFormat="false" ht="15" hidden="false" customHeight="false" outlineLevel="0" collapsed="false">
      <c r="A169" s="52"/>
      <c r="B169" s="53"/>
      <c r="C169" s="36"/>
      <c r="D169" s="36"/>
      <c r="E169" s="36"/>
      <c r="F169" s="3"/>
    </row>
    <row r="170" customFormat="false" ht="15" hidden="false" customHeight="false" outlineLevel="0" collapsed="false">
      <c r="A170" s="52"/>
      <c r="B170" s="53"/>
      <c r="C170" s="36"/>
      <c r="D170" s="36"/>
      <c r="E170" s="36"/>
      <c r="F170" s="3"/>
    </row>
    <row r="171" customFormat="false" ht="15" hidden="false" customHeight="false" outlineLevel="0" collapsed="false">
      <c r="A171" s="52"/>
      <c r="B171" s="53"/>
      <c r="C171" s="36"/>
      <c r="D171" s="36"/>
      <c r="E171" s="36"/>
      <c r="F171" s="3"/>
    </row>
    <row r="172" customFormat="false" ht="15" hidden="false" customHeight="false" outlineLevel="0" collapsed="false">
      <c r="A172" s="52"/>
      <c r="B172" s="53"/>
      <c r="C172" s="36"/>
      <c r="D172" s="36"/>
      <c r="E172" s="36"/>
      <c r="F172" s="3"/>
    </row>
    <row r="173" customFormat="false" ht="15" hidden="false" customHeight="false" outlineLevel="0" collapsed="false">
      <c r="A173" s="52"/>
      <c r="B173" s="53"/>
      <c r="C173" s="36"/>
      <c r="D173" s="36"/>
      <c r="E173" s="36"/>
      <c r="F173" s="3"/>
    </row>
    <row r="174" customFormat="false" ht="15" hidden="false" customHeight="false" outlineLevel="0" collapsed="false">
      <c r="A174" s="52"/>
      <c r="B174" s="53"/>
      <c r="C174" s="36"/>
      <c r="D174" s="36"/>
      <c r="E174" s="36"/>
      <c r="F174" s="3"/>
    </row>
    <row r="175" customFormat="false" ht="15" hidden="false" customHeight="false" outlineLevel="0" collapsed="false">
      <c r="A175" s="52"/>
      <c r="B175" s="53"/>
      <c r="C175" s="36"/>
      <c r="D175" s="36"/>
      <c r="E175" s="36"/>
      <c r="F175" s="3"/>
    </row>
    <row r="176" customFormat="false" ht="15" hidden="false" customHeight="false" outlineLevel="0" collapsed="false">
      <c r="A176" s="52"/>
      <c r="B176" s="53"/>
      <c r="C176" s="36"/>
      <c r="D176" s="36"/>
      <c r="E176" s="36"/>
      <c r="F176" s="3"/>
    </row>
    <row r="177" customFormat="false" ht="15" hidden="false" customHeight="false" outlineLevel="0" collapsed="false">
      <c r="A177" s="52"/>
      <c r="B177" s="53"/>
      <c r="C177" s="36"/>
      <c r="D177" s="36"/>
      <c r="E177" s="36"/>
      <c r="F177" s="3"/>
    </row>
    <row r="178" customFormat="false" ht="15" hidden="false" customHeight="false" outlineLevel="0" collapsed="false">
      <c r="A178" s="52"/>
      <c r="B178" s="53"/>
      <c r="C178" s="36"/>
      <c r="D178" s="36"/>
      <c r="E178" s="36"/>
      <c r="F178" s="3"/>
    </row>
    <row r="179" customFormat="false" ht="15" hidden="false" customHeight="false" outlineLevel="0" collapsed="false">
      <c r="A179" s="52"/>
      <c r="B179" s="53"/>
      <c r="C179" s="36"/>
      <c r="D179" s="36"/>
      <c r="E179" s="36"/>
      <c r="F179" s="3"/>
    </row>
    <row r="180" customFormat="false" ht="15" hidden="false" customHeight="false" outlineLevel="0" collapsed="false">
      <c r="A180" s="52"/>
      <c r="B180" s="53"/>
      <c r="C180" s="36"/>
      <c r="D180" s="36"/>
      <c r="E180" s="36"/>
      <c r="F180" s="3"/>
    </row>
    <row r="181" customFormat="false" ht="15" hidden="false" customHeight="false" outlineLevel="0" collapsed="false">
      <c r="A181" s="52"/>
      <c r="B181" s="53"/>
      <c r="C181" s="36"/>
      <c r="D181" s="36"/>
      <c r="E181" s="36"/>
      <c r="F181" s="3"/>
    </row>
    <row r="182" customFormat="false" ht="15" hidden="false" customHeight="false" outlineLevel="0" collapsed="false">
      <c r="A182" s="52"/>
      <c r="B182" s="53"/>
      <c r="C182" s="36"/>
      <c r="D182" s="36"/>
      <c r="E182" s="36"/>
      <c r="F182" s="3"/>
    </row>
    <row r="183" customFormat="false" ht="15" hidden="false" customHeight="false" outlineLevel="0" collapsed="false">
      <c r="A183" s="52"/>
      <c r="B183" s="53"/>
      <c r="C183" s="36"/>
      <c r="D183" s="36"/>
      <c r="E183" s="36"/>
      <c r="F183" s="3"/>
    </row>
    <row r="184" customFormat="false" ht="15" hidden="false" customHeight="false" outlineLevel="0" collapsed="false">
      <c r="A184" s="52"/>
      <c r="B184" s="53"/>
      <c r="C184" s="36"/>
      <c r="D184" s="36"/>
      <c r="E184" s="36"/>
      <c r="F184" s="3"/>
    </row>
    <row r="185" customFormat="false" ht="15" hidden="false" customHeight="false" outlineLevel="0" collapsed="false">
      <c r="A185" s="52"/>
      <c r="B185" s="53"/>
      <c r="C185" s="36"/>
      <c r="D185" s="36"/>
      <c r="E185" s="36"/>
      <c r="F185" s="3"/>
    </row>
    <row r="186" customFormat="false" ht="15" hidden="false" customHeight="false" outlineLevel="0" collapsed="false">
      <c r="A186" s="52"/>
      <c r="B186" s="53"/>
      <c r="C186" s="36"/>
      <c r="D186" s="36"/>
      <c r="E186" s="36"/>
      <c r="F186" s="3"/>
    </row>
    <row r="187" customFormat="false" ht="15" hidden="false" customHeight="false" outlineLevel="0" collapsed="false">
      <c r="A187" s="52"/>
      <c r="B187" s="53"/>
      <c r="C187" s="36"/>
      <c r="D187" s="36"/>
      <c r="E187" s="36"/>
      <c r="F187" s="3"/>
    </row>
    <row r="188" customFormat="false" ht="15" hidden="false" customHeight="false" outlineLevel="0" collapsed="false">
      <c r="A188" s="52"/>
      <c r="B188" s="53"/>
      <c r="C188" s="36"/>
      <c r="D188" s="36"/>
      <c r="E188" s="36"/>
      <c r="F188" s="3"/>
    </row>
    <row r="189" customFormat="false" ht="15" hidden="false" customHeight="false" outlineLevel="0" collapsed="false">
      <c r="A189" s="52"/>
      <c r="B189" s="53"/>
      <c r="C189" s="36"/>
      <c r="D189" s="36"/>
      <c r="E189" s="36"/>
      <c r="F189" s="3"/>
    </row>
    <row r="190" customFormat="false" ht="15" hidden="false" customHeight="false" outlineLevel="0" collapsed="false">
      <c r="A190" s="52"/>
      <c r="B190" s="53"/>
      <c r="C190" s="36"/>
      <c r="D190" s="36"/>
      <c r="E190" s="36"/>
      <c r="F190" s="3"/>
    </row>
    <row r="191" customFormat="false" ht="15" hidden="false" customHeight="false" outlineLevel="0" collapsed="false">
      <c r="A191" s="52"/>
      <c r="B191" s="53"/>
      <c r="C191" s="36"/>
      <c r="D191" s="36"/>
      <c r="E191" s="36"/>
      <c r="F191" s="3"/>
    </row>
    <row r="192" customFormat="false" ht="15" hidden="false" customHeight="false" outlineLevel="0" collapsed="false">
      <c r="A192" s="52"/>
      <c r="B192" s="53"/>
      <c r="C192" s="36"/>
      <c r="D192" s="36"/>
      <c r="E192" s="36"/>
      <c r="F192" s="3"/>
    </row>
    <row r="193" customFormat="false" ht="15" hidden="false" customHeight="false" outlineLevel="0" collapsed="false">
      <c r="A193" s="52"/>
      <c r="B193" s="53"/>
      <c r="C193" s="36"/>
      <c r="D193" s="36"/>
      <c r="E193" s="36"/>
      <c r="F193" s="3"/>
    </row>
    <row r="194" customFormat="false" ht="15" hidden="false" customHeight="false" outlineLevel="0" collapsed="false">
      <c r="A194" s="52"/>
      <c r="B194" s="53"/>
      <c r="C194" s="36"/>
      <c r="D194" s="36"/>
      <c r="E194" s="36"/>
      <c r="F194" s="3"/>
    </row>
    <row r="195" customFormat="false" ht="15" hidden="false" customHeight="false" outlineLevel="0" collapsed="false">
      <c r="A195" s="52"/>
      <c r="B195" s="53"/>
      <c r="C195" s="36"/>
      <c r="D195" s="36"/>
      <c r="E195" s="36"/>
      <c r="F195" s="3"/>
    </row>
    <row r="196" customFormat="false" ht="15" hidden="false" customHeight="false" outlineLevel="0" collapsed="false">
      <c r="A196" s="52"/>
      <c r="B196" s="53"/>
      <c r="C196" s="36"/>
      <c r="D196" s="36"/>
      <c r="E196" s="36"/>
      <c r="F196" s="3"/>
    </row>
    <row r="197" customFormat="false" ht="15" hidden="false" customHeight="false" outlineLevel="0" collapsed="false">
      <c r="A197" s="52"/>
      <c r="B197" s="53"/>
      <c r="C197" s="36"/>
      <c r="D197" s="36"/>
      <c r="E197" s="36"/>
      <c r="F197" s="3"/>
    </row>
    <row r="198" customFormat="false" ht="15" hidden="false" customHeight="false" outlineLevel="0" collapsed="false">
      <c r="A198" s="52"/>
      <c r="B198" s="53"/>
      <c r="C198" s="36"/>
      <c r="D198" s="36"/>
      <c r="E198" s="36"/>
      <c r="F198" s="3"/>
    </row>
    <row r="199" customFormat="false" ht="15" hidden="false" customHeight="false" outlineLevel="0" collapsed="false">
      <c r="A199" s="52"/>
      <c r="B199" s="53"/>
      <c r="C199" s="36"/>
      <c r="D199" s="36"/>
      <c r="E199" s="36"/>
      <c r="F199" s="3"/>
    </row>
    <row r="200" customFormat="false" ht="15" hidden="false" customHeight="false" outlineLevel="0" collapsed="false">
      <c r="A200" s="52"/>
      <c r="B200" s="53"/>
      <c r="C200" s="36"/>
      <c r="D200" s="36"/>
      <c r="E200" s="36"/>
      <c r="F200" s="3"/>
    </row>
    <row r="201" customFormat="false" ht="15" hidden="false" customHeight="false" outlineLevel="0" collapsed="false">
      <c r="A201" s="52"/>
      <c r="B201" s="53"/>
      <c r="C201" s="36"/>
      <c r="D201" s="36"/>
      <c r="E201" s="36"/>
      <c r="F201" s="3"/>
    </row>
    <row r="202" customFormat="false" ht="15" hidden="false" customHeight="false" outlineLevel="0" collapsed="false">
      <c r="A202" s="52"/>
      <c r="B202" s="53"/>
      <c r="C202" s="36"/>
      <c r="D202" s="36"/>
      <c r="E202" s="36"/>
      <c r="F202" s="3"/>
    </row>
    <row r="203" customFormat="false" ht="15" hidden="false" customHeight="false" outlineLevel="0" collapsed="false">
      <c r="A203" s="52"/>
      <c r="B203" s="53"/>
      <c r="C203" s="36"/>
      <c r="D203" s="36"/>
      <c r="E203" s="36"/>
      <c r="F203" s="3"/>
    </row>
    <row r="204" customFormat="false" ht="15" hidden="false" customHeight="false" outlineLevel="0" collapsed="false">
      <c r="A204" s="52"/>
      <c r="B204" s="53"/>
      <c r="C204" s="36"/>
      <c r="D204" s="36"/>
      <c r="E204" s="36"/>
      <c r="F204" s="3"/>
    </row>
    <row r="205" customFormat="false" ht="15" hidden="false" customHeight="false" outlineLevel="0" collapsed="false">
      <c r="A205" s="52"/>
      <c r="B205" s="53"/>
      <c r="C205" s="36"/>
      <c r="D205" s="36"/>
      <c r="E205" s="36"/>
      <c r="F205" s="3"/>
    </row>
    <row r="206" customFormat="false" ht="15" hidden="false" customHeight="false" outlineLevel="0" collapsed="false">
      <c r="A206" s="52"/>
      <c r="B206" s="53"/>
      <c r="C206" s="36"/>
      <c r="D206" s="36"/>
      <c r="E206" s="36"/>
      <c r="F206" s="3"/>
    </row>
    <row r="207" customFormat="false" ht="15" hidden="false" customHeight="false" outlineLevel="0" collapsed="false">
      <c r="A207" s="52"/>
      <c r="B207" s="53"/>
      <c r="C207" s="36"/>
      <c r="D207" s="36"/>
      <c r="E207" s="36"/>
      <c r="F207" s="3"/>
    </row>
    <row r="208" customFormat="false" ht="15" hidden="false" customHeight="false" outlineLevel="0" collapsed="false">
      <c r="A208" s="52"/>
      <c r="B208" s="53"/>
      <c r="C208" s="36"/>
      <c r="D208" s="36"/>
      <c r="E208" s="36"/>
      <c r="F208" s="3"/>
    </row>
    <row r="209" customFormat="false" ht="15" hidden="false" customHeight="false" outlineLevel="0" collapsed="false">
      <c r="A209" s="52"/>
      <c r="B209" s="53"/>
      <c r="C209" s="36"/>
      <c r="D209" s="36"/>
      <c r="E209" s="36"/>
      <c r="F209" s="3"/>
    </row>
    <row r="210" customFormat="false" ht="15" hidden="false" customHeight="false" outlineLevel="0" collapsed="false">
      <c r="A210" s="52"/>
      <c r="B210" s="53"/>
      <c r="C210" s="36"/>
      <c r="D210" s="36"/>
      <c r="E210" s="36"/>
      <c r="F210" s="3"/>
    </row>
    <row r="211" customFormat="false" ht="15" hidden="false" customHeight="false" outlineLevel="0" collapsed="false">
      <c r="A211" s="52"/>
      <c r="B211" s="53"/>
      <c r="C211" s="36"/>
      <c r="D211" s="36"/>
      <c r="E211" s="36"/>
      <c r="F211" s="3"/>
    </row>
    <row r="212" customFormat="false" ht="15" hidden="false" customHeight="false" outlineLevel="0" collapsed="false">
      <c r="A212" s="52"/>
      <c r="B212" s="53"/>
      <c r="C212" s="36"/>
      <c r="D212" s="36"/>
      <c r="E212" s="36"/>
      <c r="F212" s="3"/>
    </row>
    <row r="213" customFormat="false" ht="15" hidden="false" customHeight="false" outlineLevel="0" collapsed="false">
      <c r="A213" s="52"/>
      <c r="B213" s="53"/>
      <c r="C213" s="36"/>
      <c r="D213" s="36"/>
      <c r="E213" s="36"/>
      <c r="F213" s="3"/>
    </row>
    <row r="214" customFormat="false" ht="15" hidden="false" customHeight="false" outlineLevel="0" collapsed="false">
      <c r="A214" s="52"/>
      <c r="B214" s="53"/>
      <c r="C214" s="36"/>
      <c r="D214" s="36"/>
      <c r="E214" s="36"/>
      <c r="F214" s="3"/>
    </row>
    <row r="215" customFormat="false" ht="15" hidden="false" customHeight="false" outlineLevel="0" collapsed="false">
      <c r="A215" s="52"/>
      <c r="B215" s="53"/>
      <c r="C215" s="36"/>
      <c r="D215" s="36"/>
      <c r="E215" s="36"/>
      <c r="F215" s="3"/>
    </row>
    <row r="216" customFormat="false" ht="15" hidden="false" customHeight="false" outlineLevel="0" collapsed="false">
      <c r="A216" s="52"/>
      <c r="B216" s="53"/>
      <c r="C216" s="36"/>
      <c r="D216" s="36"/>
      <c r="E216" s="36"/>
      <c r="F216" s="3"/>
    </row>
    <row r="217" customFormat="false" ht="15" hidden="false" customHeight="false" outlineLevel="0" collapsed="false">
      <c r="A217" s="52"/>
      <c r="B217" s="53"/>
      <c r="C217" s="36"/>
      <c r="D217" s="36"/>
      <c r="E217" s="36"/>
      <c r="F217" s="3"/>
    </row>
    <row r="218" customFormat="false" ht="15" hidden="false" customHeight="false" outlineLevel="0" collapsed="false">
      <c r="A218" s="52"/>
      <c r="B218" s="53"/>
      <c r="C218" s="36"/>
      <c r="D218" s="36"/>
      <c r="E218" s="36"/>
      <c r="F218" s="3"/>
    </row>
    <row r="219" customFormat="false" ht="15" hidden="false" customHeight="false" outlineLevel="0" collapsed="false">
      <c r="A219" s="52"/>
      <c r="B219" s="53"/>
      <c r="C219" s="36"/>
      <c r="D219" s="36"/>
      <c r="E219" s="36"/>
      <c r="F219" s="3"/>
    </row>
    <row r="220" customFormat="false" ht="15" hidden="false" customHeight="false" outlineLevel="0" collapsed="false">
      <c r="A220" s="52"/>
      <c r="B220" s="53"/>
      <c r="C220" s="36"/>
      <c r="D220" s="36"/>
      <c r="E220" s="36"/>
      <c r="F220" s="3"/>
    </row>
    <row r="221" customFormat="false" ht="15" hidden="false" customHeight="false" outlineLevel="0" collapsed="false">
      <c r="A221" s="52"/>
      <c r="B221" s="53"/>
      <c r="C221" s="36"/>
      <c r="D221" s="36"/>
      <c r="E221" s="36"/>
      <c r="F221" s="3"/>
    </row>
    <row r="222" customFormat="false" ht="15" hidden="false" customHeight="false" outlineLevel="0" collapsed="false">
      <c r="A222" s="52"/>
      <c r="B222" s="53"/>
      <c r="C222" s="36"/>
      <c r="D222" s="36"/>
      <c r="E222" s="36"/>
      <c r="F222" s="3"/>
    </row>
    <row r="223" customFormat="false" ht="15" hidden="false" customHeight="false" outlineLevel="0" collapsed="false">
      <c r="A223" s="52"/>
      <c r="B223" s="53"/>
      <c r="C223" s="36"/>
      <c r="D223" s="36"/>
      <c r="E223" s="36"/>
      <c r="F223" s="3"/>
    </row>
    <row r="224" customFormat="false" ht="15" hidden="false" customHeight="false" outlineLevel="0" collapsed="false">
      <c r="A224" s="52"/>
      <c r="B224" s="53"/>
      <c r="C224" s="36"/>
      <c r="D224" s="36"/>
      <c r="E224" s="36"/>
      <c r="F224" s="3"/>
    </row>
    <row r="225" customFormat="false" ht="15" hidden="false" customHeight="false" outlineLevel="0" collapsed="false">
      <c r="A225" s="52"/>
      <c r="B225" s="53"/>
      <c r="C225" s="36"/>
      <c r="D225" s="36"/>
      <c r="E225" s="36"/>
      <c r="F225" s="3"/>
    </row>
    <row r="226" customFormat="false" ht="15" hidden="false" customHeight="false" outlineLevel="0" collapsed="false">
      <c r="A226" s="52"/>
      <c r="B226" s="53"/>
      <c r="C226" s="36"/>
      <c r="D226" s="36"/>
      <c r="E226" s="36"/>
      <c r="F226" s="3"/>
    </row>
    <row r="227" customFormat="false" ht="15" hidden="false" customHeight="false" outlineLevel="0" collapsed="false">
      <c r="A227" s="52"/>
      <c r="B227" s="53"/>
      <c r="C227" s="36"/>
      <c r="D227" s="36"/>
      <c r="E227" s="36"/>
      <c r="F227" s="3"/>
    </row>
    <row r="228" customFormat="false" ht="15" hidden="false" customHeight="false" outlineLevel="0" collapsed="false">
      <c r="A228" s="52"/>
      <c r="B228" s="53"/>
      <c r="C228" s="36"/>
      <c r="D228" s="36"/>
      <c r="E228" s="36"/>
      <c r="F228" s="3"/>
    </row>
    <row r="229" customFormat="false" ht="15" hidden="false" customHeight="false" outlineLevel="0" collapsed="false">
      <c r="A229" s="52"/>
      <c r="B229" s="53"/>
      <c r="C229" s="36"/>
      <c r="D229" s="36"/>
      <c r="E229" s="36"/>
      <c r="F229" s="3"/>
    </row>
    <row r="230" customFormat="false" ht="15" hidden="false" customHeight="false" outlineLevel="0" collapsed="false">
      <c r="A230" s="52"/>
      <c r="B230" s="53"/>
      <c r="C230" s="36"/>
      <c r="D230" s="36"/>
      <c r="E230" s="36"/>
      <c r="F230" s="3"/>
    </row>
    <row r="231" customFormat="false" ht="15" hidden="false" customHeight="false" outlineLevel="0" collapsed="false">
      <c r="A231" s="52"/>
      <c r="B231" s="53"/>
      <c r="C231" s="36"/>
      <c r="D231" s="36"/>
      <c r="E231" s="36"/>
      <c r="F231" s="3"/>
    </row>
    <row r="232" customFormat="false" ht="15" hidden="false" customHeight="false" outlineLevel="0" collapsed="false">
      <c r="A232" s="52"/>
      <c r="B232" s="53"/>
      <c r="C232" s="36"/>
      <c r="D232" s="36"/>
      <c r="E232" s="36"/>
      <c r="F232" s="3"/>
    </row>
    <row r="233" customFormat="false" ht="15" hidden="false" customHeight="false" outlineLevel="0" collapsed="false">
      <c r="A233" s="52"/>
      <c r="B233" s="53"/>
      <c r="C233" s="36"/>
      <c r="D233" s="36"/>
      <c r="E233" s="36"/>
      <c r="F233" s="3"/>
    </row>
    <row r="234" customFormat="false" ht="15" hidden="false" customHeight="false" outlineLevel="0" collapsed="false">
      <c r="A234" s="52"/>
      <c r="B234" s="53"/>
      <c r="C234" s="36"/>
      <c r="D234" s="36"/>
      <c r="E234" s="36"/>
      <c r="F234" s="3"/>
    </row>
    <row r="235" customFormat="false" ht="15" hidden="false" customHeight="false" outlineLevel="0" collapsed="false">
      <c r="A235" s="52"/>
      <c r="B235" s="53"/>
      <c r="C235" s="36"/>
      <c r="D235" s="36"/>
      <c r="E235" s="36"/>
      <c r="F235" s="3"/>
    </row>
    <row r="236" customFormat="false" ht="15" hidden="false" customHeight="false" outlineLevel="0" collapsed="false">
      <c r="A236" s="52"/>
      <c r="B236" s="53"/>
      <c r="C236" s="36"/>
      <c r="D236" s="36"/>
      <c r="E236" s="36"/>
      <c r="F236" s="3"/>
    </row>
    <row r="237" customFormat="false" ht="15" hidden="false" customHeight="false" outlineLevel="0" collapsed="false">
      <c r="A237" s="52"/>
      <c r="B237" s="53"/>
      <c r="C237" s="36"/>
      <c r="D237" s="36"/>
      <c r="E237" s="36"/>
      <c r="F237" s="3"/>
    </row>
    <row r="238" customFormat="false" ht="15" hidden="false" customHeight="false" outlineLevel="0" collapsed="false">
      <c r="A238" s="52"/>
      <c r="B238" s="53"/>
      <c r="C238" s="36"/>
      <c r="D238" s="36"/>
      <c r="E238" s="36"/>
      <c r="F238" s="3"/>
    </row>
    <row r="239" customFormat="false" ht="15" hidden="false" customHeight="false" outlineLevel="0" collapsed="false">
      <c r="A239" s="52"/>
      <c r="B239" s="53"/>
      <c r="C239" s="36"/>
      <c r="D239" s="36"/>
      <c r="E239" s="36"/>
      <c r="F239" s="3"/>
    </row>
    <row r="240" customFormat="false" ht="15" hidden="false" customHeight="false" outlineLevel="0" collapsed="false">
      <c r="A240" s="52"/>
      <c r="B240" s="53"/>
      <c r="C240" s="36"/>
      <c r="D240" s="36"/>
      <c r="E240" s="36"/>
      <c r="F240" s="3"/>
    </row>
    <row r="241" customFormat="false" ht="15" hidden="false" customHeight="false" outlineLevel="0" collapsed="false">
      <c r="A241" s="52"/>
      <c r="B241" s="53"/>
      <c r="C241" s="36"/>
      <c r="D241" s="36"/>
      <c r="E241" s="36"/>
      <c r="F241" s="3"/>
    </row>
    <row r="242" customFormat="false" ht="15" hidden="false" customHeight="false" outlineLevel="0" collapsed="false">
      <c r="A242" s="52"/>
      <c r="B242" s="53"/>
      <c r="C242" s="36"/>
      <c r="D242" s="36"/>
      <c r="E242" s="36"/>
      <c r="F242" s="3"/>
    </row>
    <row r="243" customFormat="false" ht="15" hidden="false" customHeight="false" outlineLevel="0" collapsed="false">
      <c r="A243" s="52"/>
      <c r="B243" s="53"/>
      <c r="C243" s="36"/>
      <c r="D243" s="36"/>
      <c r="E243" s="36"/>
      <c r="F243" s="3"/>
    </row>
    <row r="244" customFormat="false" ht="15" hidden="false" customHeight="false" outlineLevel="0" collapsed="false">
      <c r="A244" s="52"/>
      <c r="B244" s="53"/>
      <c r="C244" s="36"/>
      <c r="D244" s="36"/>
      <c r="E244" s="36"/>
      <c r="F244" s="3"/>
    </row>
    <row r="245" customFormat="false" ht="15" hidden="false" customHeight="false" outlineLevel="0" collapsed="false">
      <c r="A245" s="52"/>
      <c r="B245" s="53"/>
      <c r="C245" s="36"/>
      <c r="D245" s="36"/>
      <c r="E245" s="36"/>
      <c r="F245" s="3"/>
    </row>
    <row r="246" customFormat="false" ht="15" hidden="false" customHeight="false" outlineLevel="0" collapsed="false">
      <c r="A246" s="52"/>
      <c r="B246" s="53"/>
      <c r="C246" s="36"/>
      <c r="D246" s="36"/>
      <c r="E246" s="36"/>
      <c r="F246" s="3"/>
    </row>
    <row r="247" customFormat="false" ht="15" hidden="false" customHeight="false" outlineLevel="0" collapsed="false">
      <c r="A247" s="52"/>
      <c r="B247" s="53"/>
      <c r="C247" s="36"/>
      <c r="D247" s="36"/>
      <c r="E247" s="36"/>
      <c r="F247" s="3"/>
    </row>
    <row r="248" customFormat="false" ht="15" hidden="false" customHeight="false" outlineLevel="0" collapsed="false">
      <c r="A248" s="52"/>
      <c r="B248" s="53"/>
      <c r="C248" s="36"/>
      <c r="D248" s="36"/>
      <c r="E248" s="36"/>
      <c r="F248" s="3"/>
    </row>
    <row r="249" customFormat="false" ht="15" hidden="false" customHeight="false" outlineLevel="0" collapsed="false">
      <c r="A249" s="52"/>
      <c r="B249" s="53"/>
      <c r="C249" s="36"/>
      <c r="D249" s="36"/>
      <c r="E249" s="36"/>
      <c r="F249" s="3"/>
    </row>
    <row r="250" customFormat="false" ht="15" hidden="false" customHeight="false" outlineLevel="0" collapsed="false">
      <c r="A250" s="52"/>
      <c r="B250" s="53"/>
      <c r="C250" s="36"/>
      <c r="D250" s="36"/>
      <c r="E250" s="36"/>
      <c r="F250" s="3"/>
    </row>
    <row r="251" customFormat="false" ht="15" hidden="false" customHeight="false" outlineLevel="0" collapsed="false">
      <c r="A251" s="52"/>
      <c r="B251" s="53"/>
      <c r="C251" s="36"/>
      <c r="D251" s="36"/>
      <c r="E251" s="36"/>
      <c r="F251" s="3"/>
    </row>
    <row r="252" customFormat="false" ht="15" hidden="false" customHeight="false" outlineLevel="0" collapsed="false">
      <c r="A252" s="52"/>
      <c r="B252" s="53"/>
      <c r="C252" s="36"/>
      <c r="D252" s="36"/>
      <c r="E252" s="36"/>
      <c r="F252" s="3"/>
    </row>
    <row r="253" customFormat="false" ht="15" hidden="false" customHeight="false" outlineLevel="0" collapsed="false">
      <c r="A253" s="52"/>
      <c r="B253" s="53"/>
      <c r="C253" s="36"/>
      <c r="D253" s="36"/>
      <c r="E253" s="36"/>
      <c r="F253" s="3"/>
    </row>
    <row r="254" customFormat="false" ht="15" hidden="false" customHeight="false" outlineLevel="0" collapsed="false">
      <c r="A254" s="52"/>
      <c r="B254" s="53"/>
      <c r="C254" s="36"/>
      <c r="D254" s="36"/>
      <c r="E254" s="36"/>
      <c r="F254" s="3"/>
    </row>
    <row r="255" customFormat="false" ht="15" hidden="false" customHeight="false" outlineLevel="0" collapsed="false">
      <c r="A255" s="52"/>
      <c r="B255" s="53"/>
      <c r="C255" s="36"/>
      <c r="D255" s="36"/>
      <c r="E255" s="36"/>
      <c r="F255" s="3"/>
    </row>
    <row r="256" customFormat="false" ht="15" hidden="false" customHeight="false" outlineLevel="0" collapsed="false">
      <c r="A256" s="52"/>
      <c r="B256" s="53"/>
      <c r="C256" s="36"/>
      <c r="D256" s="36"/>
      <c r="E256" s="36"/>
      <c r="F256" s="3"/>
    </row>
    <row r="257" customFormat="false" ht="15" hidden="false" customHeight="false" outlineLevel="0" collapsed="false">
      <c r="A257" s="52"/>
      <c r="B257" s="53"/>
      <c r="C257" s="36"/>
      <c r="D257" s="36"/>
      <c r="E257" s="36"/>
      <c r="F257" s="3"/>
    </row>
    <row r="258" customFormat="false" ht="15" hidden="false" customHeight="false" outlineLevel="0" collapsed="false">
      <c r="A258" s="52"/>
      <c r="B258" s="53"/>
      <c r="C258" s="36"/>
      <c r="D258" s="36"/>
      <c r="E258" s="36"/>
      <c r="F258" s="3"/>
    </row>
    <row r="259" customFormat="false" ht="15" hidden="false" customHeight="false" outlineLevel="0" collapsed="false">
      <c r="A259" s="52"/>
      <c r="B259" s="53"/>
      <c r="C259" s="36"/>
      <c r="D259" s="36"/>
      <c r="E259" s="36"/>
      <c r="F259" s="3"/>
    </row>
    <row r="260" customFormat="false" ht="15" hidden="false" customHeight="false" outlineLevel="0" collapsed="false">
      <c r="A260" s="52"/>
      <c r="B260" s="53"/>
      <c r="C260" s="36"/>
      <c r="D260" s="36"/>
      <c r="E260" s="36"/>
      <c r="F260" s="3"/>
    </row>
    <row r="261" customFormat="false" ht="15" hidden="false" customHeight="false" outlineLevel="0" collapsed="false">
      <c r="A261" s="52"/>
      <c r="B261" s="53"/>
      <c r="C261" s="36"/>
      <c r="D261" s="36"/>
      <c r="E261" s="36"/>
      <c r="F261" s="3"/>
    </row>
    <row r="262" customFormat="false" ht="15" hidden="false" customHeight="false" outlineLevel="0" collapsed="false">
      <c r="A262" s="52"/>
      <c r="B262" s="53"/>
      <c r="C262" s="36"/>
      <c r="D262" s="36"/>
      <c r="E262" s="36"/>
      <c r="F262" s="3"/>
    </row>
    <row r="263" customFormat="false" ht="15" hidden="false" customHeight="false" outlineLevel="0" collapsed="false">
      <c r="A263" s="52"/>
      <c r="B263" s="53"/>
      <c r="C263" s="36"/>
      <c r="D263" s="36"/>
      <c r="E263" s="36"/>
      <c r="F263" s="3"/>
    </row>
    <row r="264" customFormat="false" ht="15" hidden="false" customHeight="false" outlineLevel="0" collapsed="false">
      <c r="A264" s="52"/>
      <c r="B264" s="53"/>
      <c r="C264" s="36"/>
      <c r="D264" s="36"/>
      <c r="E264" s="36"/>
      <c r="F264" s="3"/>
    </row>
    <row r="265" customFormat="false" ht="15" hidden="false" customHeight="false" outlineLevel="0" collapsed="false">
      <c r="A265" s="52"/>
      <c r="B265" s="53"/>
      <c r="C265" s="36"/>
      <c r="D265" s="36"/>
      <c r="E265" s="36"/>
      <c r="F265" s="3"/>
    </row>
    <row r="266" customFormat="false" ht="15" hidden="false" customHeight="false" outlineLevel="0" collapsed="false">
      <c r="A266" s="52"/>
      <c r="B266" s="53"/>
      <c r="C266" s="36"/>
      <c r="D266" s="36"/>
      <c r="E266" s="36"/>
      <c r="F266" s="3"/>
    </row>
    <row r="267" customFormat="false" ht="15" hidden="false" customHeight="false" outlineLevel="0" collapsed="false">
      <c r="A267" s="52"/>
      <c r="B267" s="53"/>
      <c r="C267" s="36"/>
      <c r="D267" s="36"/>
      <c r="E267" s="36"/>
      <c r="F267" s="3"/>
    </row>
    <row r="268" customFormat="false" ht="15" hidden="false" customHeight="false" outlineLevel="0" collapsed="false">
      <c r="A268" s="52"/>
      <c r="B268" s="53"/>
      <c r="C268" s="36"/>
      <c r="D268" s="36"/>
      <c r="E268" s="36"/>
      <c r="F268" s="3"/>
    </row>
    <row r="269" customFormat="false" ht="15" hidden="false" customHeight="false" outlineLevel="0" collapsed="false">
      <c r="A269" s="52"/>
      <c r="B269" s="53"/>
      <c r="C269" s="36"/>
      <c r="D269" s="36"/>
      <c r="E269" s="36"/>
      <c r="F269" s="3"/>
    </row>
    <row r="270" customFormat="false" ht="15" hidden="false" customHeight="false" outlineLevel="0" collapsed="false">
      <c r="A270" s="52"/>
      <c r="B270" s="53"/>
      <c r="C270" s="36"/>
      <c r="D270" s="36"/>
      <c r="E270" s="36"/>
      <c r="F270" s="3"/>
    </row>
    <row r="271" customFormat="false" ht="15" hidden="false" customHeight="false" outlineLevel="0" collapsed="false">
      <c r="A271" s="52"/>
      <c r="B271" s="53"/>
      <c r="C271" s="36"/>
      <c r="D271" s="36"/>
      <c r="E271" s="36"/>
      <c r="F271" s="3"/>
    </row>
    <row r="272" customFormat="false" ht="15" hidden="false" customHeight="false" outlineLevel="0" collapsed="false">
      <c r="A272" s="52"/>
      <c r="B272" s="53"/>
      <c r="C272" s="36"/>
      <c r="D272" s="36"/>
      <c r="E272" s="36"/>
      <c r="F272" s="3"/>
    </row>
    <row r="273" customFormat="false" ht="15" hidden="false" customHeight="false" outlineLevel="0" collapsed="false">
      <c r="A273" s="52"/>
      <c r="B273" s="53"/>
      <c r="C273" s="36"/>
      <c r="D273" s="36"/>
      <c r="E273" s="36"/>
      <c r="F273" s="3"/>
    </row>
    <row r="274" customFormat="false" ht="15" hidden="false" customHeight="false" outlineLevel="0" collapsed="false">
      <c r="A274" s="52"/>
      <c r="B274" s="53"/>
      <c r="C274" s="36"/>
      <c r="D274" s="36"/>
      <c r="E274" s="36"/>
      <c r="F274" s="3"/>
    </row>
    <row r="275" customFormat="false" ht="15" hidden="false" customHeight="false" outlineLevel="0" collapsed="false">
      <c r="A275" s="52"/>
      <c r="B275" s="53"/>
      <c r="C275" s="36"/>
      <c r="D275" s="36"/>
      <c r="E275" s="36"/>
      <c r="F275" s="3"/>
    </row>
    <row r="276" customFormat="false" ht="15" hidden="false" customHeight="false" outlineLevel="0" collapsed="false">
      <c r="A276" s="52"/>
      <c r="B276" s="53"/>
      <c r="C276" s="36"/>
      <c r="D276" s="36"/>
      <c r="E276" s="36"/>
      <c r="F276" s="3"/>
    </row>
    <row r="277" customFormat="false" ht="15" hidden="false" customHeight="false" outlineLevel="0" collapsed="false">
      <c r="A277" s="52"/>
      <c r="B277" s="53"/>
      <c r="C277" s="36"/>
      <c r="D277" s="36"/>
      <c r="E277" s="36"/>
      <c r="F277" s="3"/>
    </row>
    <row r="278" customFormat="false" ht="15" hidden="false" customHeight="false" outlineLevel="0" collapsed="false">
      <c r="A278" s="52"/>
      <c r="B278" s="53"/>
      <c r="C278" s="36"/>
      <c r="D278" s="36"/>
      <c r="E278" s="36"/>
      <c r="F278" s="3"/>
    </row>
    <row r="279" customFormat="false" ht="15" hidden="false" customHeight="false" outlineLevel="0" collapsed="false">
      <c r="A279" s="52"/>
      <c r="B279" s="53"/>
      <c r="C279" s="36"/>
      <c r="D279" s="36"/>
      <c r="E279" s="36"/>
      <c r="F279" s="3"/>
    </row>
    <row r="280" customFormat="false" ht="15" hidden="false" customHeight="false" outlineLevel="0" collapsed="false">
      <c r="A280" s="52"/>
      <c r="B280" s="53"/>
      <c r="C280" s="36"/>
      <c r="D280" s="36"/>
      <c r="E280" s="36"/>
      <c r="F280" s="3"/>
    </row>
    <row r="281" customFormat="false" ht="15" hidden="false" customHeight="false" outlineLevel="0" collapsed="false">
      <c r="A281" s="52"/>
      <c r="B281" s="53"/>
      <c r="C281" s="36"/>
      <c r="D281" s="36"/>
      <c r="E281" s="36"/>
      <c r="F281" s="3"/>
    </row>
    <row r="282" customFormat="false" ht="15" hidden="false" customHeight="false" outlineLevel="0" collapsed="false">
      <c r="A282" s="52"/>
      <c r="B282" s="53"/>
      <c r="C282" s="36"/>
      <c r="D282" s="36"/>
      <c r="E282" s="36"/>
      <c r="F282" s="3"/>
    </row>
    <row r="283" customFormat="false" ht="15" hidden="false" customHeight="false" outlineLevel="0" collapsed="false">
      <c r="A283" s="52"/>
      <c r="B283" s="53"/>
      <c r="C283" s="36"/>
      <c r="D283" s="36"/>
      <c r="E283" s="36"/>
      <c r="F283" s="3"/>
    </row>
    <row r="284" customFormat="false" ht="15" hidden="false" customHeight="false" outlineLevel="0" collapsed="false">
      <c r="A284" s="52"/>
      <c r="B284" s="53"/>
      <c r="C284" s="36"/>
      <c r="D284" s="36"/>
      <c r="E284" s="36"/>
      <c r="F284" s="3"/>
    </row>
    <row r="285" customFormat="false" ht="15" hidden="false" customHeight="false" outlineLevel="0" collapsed="false">
      <c r="A285" s="52"/>
      <c r="B285" s="53"/>
      <c r="C285" s="36"/>
      <c r="D285" s="36"/>
      <c r="E285" s="36"/>
      <c r="F285" s="3"/>
    </row>
    <row r="286" customFormat="false" ht="15" hidden="false" customHeight="false" outlineLevel="0" collapsed="false">
      <c r="A286" s="52"/>
      <c r="B286" s="53"/>
      <c r="C286" s="36"/>
      <c r="D286" s="36"/>
      <c r="E286" s="36"/>
      <c r="F286" s="3"/>
    </row>
    <row r="287" customFormat="false" ht="15" hidden="false" customHeight="false" outlineLevel="0" collapsed="false">
      <c r="A287" s="52"/>
      <c r="B287" s="53"/>
      <c r="C287" s="36"/>
      <c r="D287" s="36"/>
      <c r="E287" s="36"/>
      <c r="F287" s="3"/>
    </row>
    <row r="288" customFormat="false" ht="15" hidden="false" customHeight="false" outlineLevel="0" collapsed="false">
      <c r="A288" s="52"/>
      <c r="B288" s="53"/>
      <c r="C288" s="36"/>
      <c r="D288" s="36"/>
      <c r="E288" s="36"/>
      <c r="F288" s="3"/>
    </row>
    <row r="289" customFormat="false" ht="15" hidden="false" customHeight="false" outlineLevel="0" collapsed="false">
      <c r="A289" s="52"/>
      <c r="B289" s="53"/>
      <c r="C289" s="36"/>
      <c r="D289" s="36"/>
      <c r="E289" s="36"/>
      <c r="F289" s="3"/>
    </row>
    <row r="290" customFormat="false" ht="15" hidden="false" customHeight="false" outlineLevel="0" collapsed="false">
      <c r="A290" s="52"/>
      <c r="B290" s="53"/>
      <c r="C290" s="36"/>
      <c r="D290" s="36"/>
      <c r="E290" s="36"/>
      <c r="F290" s="3"/>
    </row>
    <row r="291" customFormat="false" ht="15" hidden="false" customHeight="false" outlineLevel="0" collapsed="false">
      <c r="A291" s="52"/>
      <c r="B291" s="53"/>
      <c r="C291" s="36"/>
      <c r="D291" s="36"/>
      <c r="E291" s="36"/>
      <c r="F291" s="3"/>
    </row>
    <row r="292" customFormat="false" ht="15" hidden="false" customHeight="false" outlineLevel="0" collapsed="false">
      <c r="A292" s="52"/>
      <c r="B292" s="53"/>
      <c r="C292" s="36"/>
      <c r="D292" s="36"/>
      <c r="E292" s="36"/>
      <c r="F292" s="3"/>
    </row>
    <row r="293" customFormat="false" ht="15" hidden="false" customHeight="false" outlineLevel="0" collapsed="false">
      <c r="A293" s="52"/>
      <c r="B293" s="53"/>
      <c r="C293" s="36"/>
      <c r="D293" s="36"/>
      <c r="E293" s="36"/>
      <c r="F293" s="3"/>
    </row>
    <row r="294" customFormat="false" ht="15" hidden="false" customHeight="false" outlineLevel="0" collapsed="false">
      <c r="A294" s="52"/>
      <c r="B294" s="53"/>
      <c r="C294" s="36"/>
      <c r="D294" s="36"/>
      <c r="E294" s="36"/>
      <c r="F294" s="3"/>
    </row>
    <row r="295" customFormat="false" ht="15" hidden="false" customHeight="false" outlineLevel="0" collapsed="false">
      <c r="A295" s="52"/>
      <c r="B295" s="53"/>
      <c r="C295" s="36"/>
      <c r="D295" s="36"/>
      <c r="E295" s="36"/>
      <c r="F295" s="3"/>
    </row>
    <row r="296" customFormat="false" ht="15" hidden="false" customHeight="false" outlineLevel="0" collapsed="false">
      <c r="A296" s="52"/>
      <c r="B296" s="53"/>
      <c r="C296" s="36"/>
      <c r="D296" s="36"/>
      <c r="E296" s="36"/>
      <c r="F296" s="3"/>
    </row>
    <row r="297" customFormat="false" ht="15" hidden="false" customHeight="false" outlineLevel="0" collapsed="false">
      <c r="A297" s="52"/>
      <c r="B297" s="53"/>
      <c r="C297" s="36"/>
      <c r="D297" s="36"/>
      <c r="E297" s="36"/>
      <c r="F297" s="3"/>
    </row>
    <row r="298" customFormat="false" ht="15" hidden="false" customHeight="false" outlineLevel="0" collapsed="false">
      <c r="A298" s="52"/>
      <c r="B298" s="53"/>
      <c r="C298" s="36"/>
      <c r="D298" s="36"/>
      <c r="E298" s="36"/>
      <c r="F298" s="3"/>
    </row>
    <row r="299" customFormat="false" ht="15" hidden="false" customHeight="false" outlineLevel="0" collapsed="false">
      <c r="A299" s="52"/>
      <c r="B299" s="53"/>
      <c r="C299" s="36"/>
      <c r="D299" s="36"/>
      <c r="E299" s="36"/>
      <c r="F299" s="3"/>
    </row>
    <row r="300" customFormat="false" ht="15" hidden="false" customHeight="false" outlineLevel="0" collapsed="false">
      <c r="A300" s="52"/>
      <c r="B300" s="53"/>
      <c r="C300" s="36"/>
      <c r="D300" s="36"/>
      <c r="E300" s="36"/>
      <c r="F300" s="3"/>
    </row>
    <row r="301" customFormat="false" ht="15" hidden="false" customHeight="false" outlineLevel="0" collapsed="false">
      <c r="A301" s="52"/>
      <c r="B301" s="53"/>
      <c r="C301" s="36"/>
      <c r="D301" s="36"/>
      <c r="E301" s="36"/>
      <c r="F301" s="3"/>
    </row>
    <row r="302" customFormat="false" ht="15" hidden="false" customHeight="false" outlineLevel="0" collapsed="false">
      <c r="A302" s="52"/>
      <c r="B302" s="53"/>
      <c r="C302" s="36"/>
      <c r="D302" s="36"/>
      <c r="E302" s="36"/>
      <c r="F302" s="3"/>
    </row>
    <row r="303" customFormat="false" ht="15" hidden="false" customHeight="false" outlineLevel="0" collapsed="false">
      <c r="A303" s="52"/>
      <c r="B303" s="53"/>
      <c r="C303" s="36"/>
      <c r="D303" s="36"/>
      <c r="E303" s="36"/>
      <c r="F303" s="3"/>
    </row>
    <row r="304" customFormat="false" ht="15" hidden="false" customHeight="false" outlineLevel="0" collapsed="false">
      <c r="A304" s="52"/>
      <c r="B304" s="53"/>
      <c r="C304" s="36"/>
      <c r="D304" s="36"/>
      <c r="E304" s="36"/>
      <c r="F304" s="3"/>
    </row>
    <row r="305" customFormat="false" ht="15" hidden="false" customHeight="false" outlineLevel="0" collapsed="false">
      <c r="A305" s="52"/>
      <c r="B305" s="53"/>
      <c r="C305" s="36"/>
      <c r="D305" s="36"/>
      <c r="E305" s="36"/>
      <c r="F305" s="3"/>
    </row>
    <row r="306" customFormat="false" ht="15" hidden="false" customHeight="false" outlineLevel="0" collapsed="false">
      <c r="A306" s="52"/>
      <c r="B306" s="53"/>
      <c r="C306" s="36"/>
      <c r="D306" s="36"/>
      <c r="E306" s="36"/>
      <c r="F306" s="3"/>
    </row>
    <row r="307" customFormat="false" ht="15" hidden="false" customHeight="false" outlineLevel="0" collapsed="false">
      <c r="A307" s="52"/>
      <c r="B307" s="53"/>
      <c r="C307" s="36"/>
      <c r="D307" s="36"/>
      <c r="E307" s="36"/>
      <c r="F307" s="3"/>
    </row>
    <row r="308" customFormat="false" ht="15" hidden="false" customHeight="false" outlineLevel="0" collapsed="false">
      <c r="A308" s="52"/>
      <c r="B308" s="53"/>
      <c r="C308" s="36"/>
      <c r="D308" s="36"/>
      <c r="E308" s="36"/>
      <c r="F308" s="3"/>
    </row>
    <row r="309" customFormat="false" ht="15" hidden="false" customHeight="false" outlineLevel="0" collapsed="false">
      <c r="A309" s="52"/>
      <c r="B309" s="53"/>
      <c r="C309" s="36"/>
      <c r="D309" s="36"/>
      <c r="E309" s="36"/>
      <c r="F309" s="3"/>
    </row>
    <row r="310" customFormat="false" ht="15" hidden="false" customHeight="false" outlineLevel="0" collapsed="false">
      <c r="A310" s="52"/>
      <c r="B310" s="53"/>
      <c r="C310" s="36"/>
      <c r="D310" s="36"/>
      <c r="E310" s="36"/>
      <c r="F310" s="3"/>
    </row>
    <row r="311" customFormat="false" ht="15" hidden="false" customHeight="false" outlineLevel="0" collapsed="false">
      <c r="A311" s="52"/>
      <c r="B311" s="53"/>
      <c r="C311" s="36"/>
      <c r="D311" s="36"/>
      <c r="E311" s="36"/>
      <c r="F311" s="3"/>
    </row>
    <row r="312" customFormat="false" ht="15" hidden="false" customHeight="false" outlineLevel="0" collapsed="false">
      <c r="A312" s="52"/>
      <c r="B312" s="53"/>
      <c r="C312" s="36"/>
      <c r="D312" s="36"/>
      <c r="E312" s="36"/>
      <c r="F312" s="3"/>
    </row>
    <row r="313" customFormat="false" ht="15" hidden="false" customHeight="false" outlineLevel="0" collapsed="false">
      <c r="A313" s="52"/>
      <c r="B313" s="53"/>
      <c r="C313" s="36"/>
      <c r="D313" s="36"/>
      <c r="E313" s="36"/>
      <c r="F313" s="3"/>
    </row>
    <row r="314" customFormat="false" ht="15" hidden="false" customHeight="false" outlineLevel="0" collapsed="false">
      <c r="A314" s="52"/>
      <c r="B314" s="53"/>
      <c r="C314" s="36"/>
      <c r="D314" s="36"/>
      <c r="E314" s="36"/>
      <c r="F314" s="3"/>
    </row>
    <row r="315" customFormat="false" ht="15" hidden="false" customHeight="false" outlineLevel="0" collapsed="false">
      <c r="A315" s="52"/>
      <c r="B315" s="53"/>
      <c r="C315" s="36"/>
      <c r="D315" s="36"/>
      <c r="E315" s="36"/>
      <c r="F315" s="3"/>
    </row>
    <row r="316" customFormat="false" ht="15" hidden="false" customHeight="false" outlineLevel="0" collapsed="false">
      <c r="A316" s="52"/>
      <c r="B316" s="53"/>
      <c r="C316" s="36"/>
      <c r="D316" s="36"/>
      <c r="E316" s="36"/>
      <c r="F316" s="3"/>
    </row>
    <row r="317" customFormat="false" ht="15" hidden="false" customHeight="false" outlineLevel="0" collapsed="false">
      <c r="A317" s="52"/>
      <c r="B317" s="53"/>
      <c r="C317" s="36"/>
      <c r="D317" s="36"/>
      <c r="E317" s="36"/>
      <c r="F317" s="3"/>
    </row>
    <row r="318" customFormat="false" ht="15" hidden="false" customHeight="false" outlineLevel="0" collapsed="false">
      <c r="A318" s="52"/>
      <c r="B318" s="53"/>
      <c r="C318" s="36"/>
      <c r="D318" s="36"/>
      <c r="E318" s="36"/>
      <c r="F318" s="3"/>
    </row>
    <row r="319" customFormat="false" ht="15" hidden="false" customHeight="false" outlineLevel="0" collapsed="false">
      <c r="A319" s="52"/>
      <c r="B319" s="53"/>
      <c r="C319" s="36"/>
      <c r="D319" s="36"/>
      <c r="E319" s="36"/>
      <c r="F319" s="3"/>
    </row>
    <row r="320" customFormat="false" ht="15" hidden="false" customHeight="false" outlineLevel="0" collapsed="false">
      <c r="A320" s="52"/>
      <c r="B320" s="53"/>
      <c r="C320" s="36"/>
      <c r="D320" s="36"/>
      <c r="E320" s="36"/>
      <c r="F320" s="3"/>
    </row>
    <row r="321" customFormat="false" ht="15" hidden="false" customHeight="false" outlineLevel="0" collapsed="false">
      <c r="A321" s="52"/>
      <c r="B321" s="53"/>
      <c r="C321" s="36"/>
      <c r="D321" s="36"/>
      <c r="E321" s="36"/>
      <c r="F321" s="3"/>
    </row>
    <row r="322" customFormat="false" ht="15" hidden="false" customHeight="false" outlineLevel="0" collapsed="false">
      <c r="A322" s="52"/>
      <c r="B322" s="53"/>
      <c r="C322" s="36"/>
      <c r="D322" s="36"/>
      <c r="E322" s="36"/>
      <c r="F322" s="3"/>
    </row>
    <row r="323" customFormat="false" ht="15" hidden="false" customHeight="false" outlineLevel="0" collapsed="false">
      <c r="A323" s="52"/>
      <c r="B323" s="53"/>
      <c r="C323" s="36"/>
      <c r="D323" s="36"/>
      <c r="E323" s="36"/>
      <c r="F323" s="3"/>
    </row>
    <row r="324" customFormat="false" ht="15" hidden="false" customHeight="false" outlineLevel="0" collapsed="false">
      <c r="A324" s="52"/>
      <c r="B324" s="53"/>
      <c r="C324" s="36"/>
      <c r="D324" s="36"/>
      <c r="E324" s="36"/>
      <c r="F324" s="3"/>
    </row>
    <row r="325" customFormat="false" ht="15" hidden="false" customHeight="false" outlineLevel="0" collapsed="false">
      <c r="A325" s="52"/>
      <c r="B325" s="53"/>
      <c r="C325" s="36"/>
      <c r="D325" s="36"/>
      <c r="E325" s="36"/>
      <c r="F325" s="3"/>
    </row>
    <row r="326" customFormat="false" ht="15" hidden="false" customHeight="false" outlineLevel="0" collapsed="false">
      <c r="A326" s="52"/>
      <c r="B326" s="53"/>
      <c r="C326" s="36"/>
      <c r="D326" s="36"/>
      <c r="E326" s="36"/>
      <c r="F326" s="3"/>
    </row>
    <row r="327" customFormat="false" ht="15" hidden="false" customHeight="false" outlineLevel="0" collapsed="false">
      <c r="A327" s="52"/>
      <c r="B327" s="53"/>
      <c r="C327" s="36"/>
      <c r="D327" s="36"/>
      <c r="E327" s="36"/>
      <c r="F327" s="3"/>
    </row>
    <row r="328" customFormat="false" ht="15" hidden="false" customHeight="false" outlineLevel="0" collapsed="false">
      <c r="A328" s="52"/>
      <c r="B328" s="53"/>
      <c r="C328" s="36"/>
      <c r="D328" s="36"/>
      <c r="E328" s="36"/>
      <c r="F328" s="3"/>
    </row>
    <row r="329" customFormat="false" ht="15" hidden="false" customHeight="false" outlineLevel="0" collapsed="false">
      <c r="A329" s="52"/>
      <c r="B329" s="53"/>
      <c r="C329" s="36"/>
      <c r="D329" s="36"/>
      <c r="E329" s="36"/>
      <c r="F329" s="3"/>
    </row>
    <row r="330" customFormat="false" ht="15" hidden="false" customHeight="false" outlineLevel="0" collapsed="false">
      <c r="A330" s="52"/>
      <c r="B330" s="53"/>
      <c r="C330" s="36"/>
      <c r="D330" s="36"/>
      <c r="E330" s="36"/>
      <c r="F330" s="3"/>
    </row>
    <row r="331" customFormat="false" ht="15" hidden="false" customHeight="false" outlineLevel="0" collapsed="false">
      <c r="A331" s="52"/>
      <c r="B331" s="53"/>
      <c r="C331" s="36"/>
      <c r="D331" s="36"/>
      <c r="E331" s="36"/>
      <c r="F331" s="3"/>
    </row>
    <row r="332" customFormat="false" ht="15" hidden="false" customHeight="false" outlineLevel="0" collapsed="false">
      <c r="A332" s="52"/>
      <c r="B332" s="53"/>
      <c r="C332" s="36"/>
      <c r="D332" s="36"/>
      <c r="E332" s="36"/>
      <c r="F332" s="3"/>
    </row>
    <row r="333" customFormat="false" ht="15" hidden="false" customHeight="false" outlineLevel="0" collapsed="false">
      <c r="A333" s="52"/>
      <c r="B333" s="53"/>
      <c r="C333" s="36"/>
      <c r="D333" s="36"/>
      <c r="E333" s="36"/>
      <c r="F333" s="3"/>
    </row>
    <row r="334" customFormat="false" ht="15" hidden="false" customHeight="false" outlineLevel="0" collapsed="false">
      <c r="A334" s="52"/>
      <c r="B334" s="53"/>
      <c r="C334" s="36"/>
      <c r="D334" s="36"/>
      <c r="E334" s="36"/>
      <c r="F334" s="3"/>
    </row>
    <row r="335" customFormat="false" ht="15" hidden="false" customHeight="false" outlineLevel="0" collapsed="false">
      <c r="A335" s="52"/>
      <c r="B335" s="53"/>
      <c r="C335" s="36"/>
      <c r="D335" s="36"/>
      <c r="E335" s="36"/>
      <c r="F335" s="3"/>
    </row>
    <row r="336" customFormat="false" ht="15" hidden="false" customHeight="false" outlineLevel="0" collapsed="false">
      <c r="A336" s="52"/>
      <c r="B336" s="53"/>
      <c r="C336" s="36"/>
      <c r="D336" s="36"/>
      <c r="E336" s="36"/>
      <c r="F336" s="3"/>
    </row>
    <row r="337" customFormat="false" ht="15" hidden="false" customHeight="false" outlineLevel="0" collapsed="false">
      <c r="A337" s="52"/>
      <c r="B337" s="53"/>
      <c r="C337" s="36"/>
      <c r="D337" s="36"/>
      <c r="E337" s="36"/>
      <c r="F337" s="3"/>
    </row>
    <row r="338" customFormat="false" ht="15" hidden="false" customHeight="false" outlineLevel="0" collapsed="false">
      <c r="A338" s="52"/>
      <c r="B338" s="53"/>
      <c r="C338" s="36"/>
      <c r="D338" s="36"/>
      <c r="E338" s="36"/>
      <c r="F338" s="3"/>
    </row>
    <row r="339" customFormat="false" ht="15" hidden="false" customHeight="false" outlineLevel="0" collapsed="false">
      <c r="A339" s="52"/>
      <c r="B339" s="53"/>
      <c r="C339" s="36"/>
      <c r="D339" s="36"/>
      <c r="E339" s="36"/>
      <c r="F339" s="3"/>
    </row>
    <row r="340" customFormat="false" ht="15" hidden="false" customHeight="false" outlineLevel="0" collapsed="false">
      <c r="A340" s="52"/>
      <c r="B340" s="53"/>
      <c r="C340" s="36"/>
      <c r="D340" s="36"/>
      <c r="E340" s="36"/>
      <c r="F340" s="3"/>
    </row>
    <row r="341" customFormat="false" ht="15" hidden="false" customHeight="false" outlineLevel="0" collapsed="false">
      <c r="A341" s="52"/>
      <c r="B341" s="53"/>
      <c r="C341" s="36"/>
      <c r="D341" s="36"/>
      <c r="E341" s="36"/>
      <c r="F341" s="3"/>
    </row>
    <row r="342" customFormat="false" ht="15" hidden="false" customHeight="false" outlineLevel="0" collapsed="false">
      <c r="A342" s="52"/>
      <c r="B342" s="53"/>
      <c r="C342" s="36"/>
      <c r="D342" s="36"/>
      <c r="E342" s="36"/>
      <c r="F342" s="3"/>
    </row>
    <row r="343" customFormat="false" ht="15" hidden="false" customHeight="false" outlineLevel="0" collapsed="false">
      <c r="A343" s="52"/>
      <c r="B343" s="53"/>
      <c r="C343" s="36"/>
      <c r="D343" s="36"/>
      <c r="E343" s="36"/>
      <c r="F343" s="3"/>
    </row>
    <row r="344" customFormat="false" ht="15" hidden="false" customHeight="false" outlineLevel="0" collapsed="false">
      <c r="A344" s="52"/>
      <c r="B344" s="53"/>
      <c r="C344" s="36"/>
      <c r="D344" s="36"/>
      <c r="E344" s="36"/>
      <c r="F344" s="3"/>
    </row>
    <row r="345" customFormat="false" ht="15" hidden="false" customHeight="false" outlineLevel="0" collapsed="false">
      <c r="A345" s="52"/>
      <c r="B345" s="53"/>
      <c r="C345" s="36"/>
      <c r="D345" s="36"/>
      <c r="E345" s="36"/>
      <c r="F345" s="3"/>
    </row>
    <row r="346" customFormat="false" ht="15" hidden="false" customHeight="false" outlineLevel="0" collapsed="false">
      <c r="A346" s="52"/>
      <c r="B346" s="53"/>
      <c r="C346" s="36"/>
      <c r="D346" s="36"/>
      <c r="E346" s="36"/>
      <c r="F346" s="3"/>
    </row>
    <row r="347" customFormat="false" ht="15" hidden="false" customHeight="false" outlineLevel="0" collapsed="false">
      <c r="A347" s="52"/>
      <c r="B347" s="53"/>
      <c r="C347" s="36"/>
      <c r="D347" s="36"/>
      <c r="E347" s="36"/>
      <c r="F347" s="3"/>
    </row>
    <row r="348" customFormat="false" ht="15" hidden="false" customHeight="false" outlineLevel="0" collapsed="false">
      <c r="A348" s="52"/>
      <c r="B348" s="53"/>
      <c r="C348" s="36"/>
      <c r="D348" s="36"/>
      <c r="E348" s="36"/>
      <c r="F348" s="3"/>
    </row>
    <row r="349" customFormat="false" ht="15" hidden="false" customHeight="false" outlineLevel="0" collapsed="false">
      <c r="A349" s="52"/>
      <c r="B349" s="53"/>
      <c r="C349" s="36"/>
      <c r="D349" s="36"/>
      <c r="E349" s="36"/>
      <c r="F349" s="3"/>
    </row>
    <row r="350" customFormat="false" ht="15" hidden="false" customHeight="false" outlineLevel="0" collapsed="false">
      <c r="A350" s="52"/>
      <c r="B350" s="53"/>
      <c r="C350" s="36"/>
      <c r="D350" s="36"/>
      <c r="E350" s="36"/>
      <c r="F350" s="3"/>
    </row>
    <row r="351" customFormat="false" ht="15" hidden="false" customHeight="false" outlineLevel="0" collapsed="false">
      <c r="A351" s="52"/>
      <c r="B351" s="53"/>
      <c r="C351" s="36"/>
      <c r="D351" s="36"/>
      <c r="E351" s="36"/>
      <c r="F351" s="3"/>
    </row>
    <row r="352" customFormat="false" ht="15" hidden="false" customHeight="false" outlineLevel="0" collapsed="false">
      <c r="A352" s="52"/>
      <c r="B352" s="53"/>
      <c r="C352" s="36"/>
      <c r="D352" s="36"/>
      <c r="E352" s="36"/>
      <c r="F352" s="3"/>
    </row>
    <row r="353" customFormat="false" ht="15" hidden="false" customHeight="false" outlineLevel="0" collapsed="false">
      <c r="A353" s="52"/>
      <c r="B353" s="53"/>
      <c r="C353" s="36"/>
      <c r="D353" s="36"/>
      <c r="E353" s="36"/>
      <c r="F353" s="3"/>
    </row>
    <row r="354" customFormat="false" ht="15" hidden="false" customHeight="false" outlineLevel="0" collapsed="false">
      <c r="A354" s="52"/>
      <c r="B354" s="53"/>
      <c r="C354" s="36"/>
      <c r="D354" s="36"/>
      <c r="E354" s="36"/>
      <c r="F354" s="3"/>
    </row>
    <row r="355" customFormat="false" ht="15" hidden="false" customHeight="false" outlineLevel="0" collapsed="false">
      <c r="A355" s="52"/>
      <c r="B355" s="53"/>
      <c r="C355" s="36"/>
      <c r="D355" s="36"/>
      <c r="E355" s="36"/>
      <c r="F355" s="3"/>
    </row>
    <row r="356" customFormat="false" ht="15" hidden="false" customHeight="false" outlineLevel="0" collapsed="false">
      <c r="A356" s="52"/>
      <c r="B356" s="53"/>
      <c r="C356" s="36"/>
      <c r="D356" s="36"/>
      <c r="E356" s="36"/>
      <c r="F356" s="3"/>
    </row>
    <row r="357" customFormat="false" ht="15" hidden="false" customHeight="false" outlineLevel="0" collapsed="false">
      <c r="A357" s="52"/>
      <c r="B357" s="53"/>
      <c r="C357" s="36"/>
      <c r="D357" s="36"/>
      <c r="E357" s="36"/>
      <c r="F357" s="3"/>
    </row>
    <row r="358" customFormat="false" ht="15" hidden="false" customHeight="false" outlineLevel="0" collapsed="false">
      <c r="A358" s="52"/>
      <c r="B358" s="53"/>
      <c r="C358" s="36"/>
      <c r="D358" s="36"/>
      <c r="E358" s="36"/>
      <c r="F358" s="3"/>
    </row>
    <row r="359" customFormat="false" ht="15" hidden="false" customHeight="false" outlineLevel="0" collapsed="false">
      <c r="A359" s="52"/>
      <c r="B359" s="53"/>
      <c r="C359" s="36"/>
      <c r="D359" s="36"/>
      <c r="E359" s="36"/>
      <c r="F359" s="3"/>
    </row>
    <row r="360" customFormat="false" ht="15" hidden="false" customHeight="false" outlineLevel="0" collapsed="false">
      <c r="A360" s="52"/>
      <c r="B360" s="53"/>
      <c r="C360" s="36"/>
      <c r="D360" s="36"/>
      <c r="E360" s="36"/>
      <c r="F360" s="3"/>
    </row>
    <row r="361" customFormat="false" ht="15" hidden="false" customHeight="false" outlineLevel="0" collapsed="false">
      <c r="A361" s="52"/>
      <c r="B361" s="53"/>
      <c r="C361" s="36"/>
      <c r="D361" s="36"/>
      <c r="E361" s="36"/>
      <c r="F361" s="3"/>
    </row>
    <row r="362" customFormat="false" ht="15" hidden="false" customHeight="false" outlineLevel="0" collapsed="false">
      <c r="A362" s="52"/>
      <c r="B362" s="53"/>
      <c r="C362" s="36"/>
      <c r="D362" s="36"/>
      <c r="E362" s="36"/>
      <c r="F362" s="3"/>
    </row>
    <row r="363" customFormat="false" ht="15" hidden="false" customHeight="false" outlineLevel="0" collapsed="false">
      <c r="A363" s="52"/>
      <c r="B363" s="53"/>
      <c r="C363" s="36"/>
      <c r="D363" s="36"/>
      <c r="E363" s="36"/>
      <c r="F363" s="3"/>
    </row>
    <row r="364" customFormat="false" ht="15" hidden="false" customHeight="false" outlineLevel="0" collapsed="false">
      <c r="A364" s="52"/>
      <c r="B364" s="53"/>
      <c r="C364" s="36"/>
      <c r="D364" s="36"/>
      <c r="E364" s="36"/>
      <c r="F364" s="3"/>
    </row>
    <row r="365" customFormat="false" ht="15" hidden="false" customHeight="false" outlineLevel="0" collapsed="false">
      <c r="A365" s="52"/>
      <c r="B365" s="53"/>
      <c r="C365" s="36"/>
      <c r="D365" s="36"/>
      <c r="E365" s="36"/>
      <c r="F365" s="3"/>
    </row>
    <row r="366" customFormat="false" ht="15" hidden="false" customHeight="false" outlineLevel="0" collapsed="false">
      <c r="A366" s="52"/>
      <c r="B366" s="53"/>
      <c r="C366" s="36"/>
      <c r="D366" s="36"/>
      <c r="E366" s="36"/>
      <c r="F366" s="3"/>
    </row>
    <row r="367" customFormat="false" ht="15" hidden="false" customHeight="false" outlineLevel="0" collapsed="false">
      <c r="A367" s="52"/>
      <c r="B367" s="53"/>
      <c r="C367" s="36"/>
      <c r="D367" s="36"/>
      <c r="E367" s="36"/>
      <c r="F367" s="3"/>
    </row>
    <row r="368" customFormat="false" ht="15" hidden="false" customHeight="false" outlineLevel="0" collapsed="false">
      <c r="A368" s="52"/>
      <c r="B368" s="53"/>
      <c r="C368" s="36"/>
      <c r="D368" s="36"/>
      <c r="E368" s="36"/>
      <c r="F368" s="3"/>
    </row>
    <row r="369" customFormat="false" ht="15" hidden="false" customHeight="false" outlineLevel="0" collapsed="false">
      <c r="A369" s="52"/>
      <c r="B369" s="53"/>
      <c r="C369" s="36"/>
      <c r="D369" s="36"/>
      <c r="E369" s="36"/>
      <c r="F369" s="3"/>
    </row>
    <row r="370" customFormat="false" ht="15" hidden="false" customHeight="false" outlineLevel="0" collapsed="false">
      <c r="A370" s="52"/>
      <c r="B370" s="53"/>
      <c r="C370" s="36"/>
      <c r="D370" s="36"/>
      <c r="E370" s="36"/>
      <c r="F370" s="3"/>
    </row>
    <row r="371" customFormat="false" ht="15" hidden="false" customHeight="false" outlineLevel="0" collapsed="false">
      <c r="A371" s="52"/>
      <c r="B371" s="53"/>
      <c r="C371" s="36"/>
      <c r="D371" s="36"/>
      <c r="E371" s="36"/>
      <c r="F371" s="3"/>
    </row>
    <row r="372" customFormat="false" ht="15" hidden="false" customHeight="false" outlineLevel="0" collapsed="false">
      <c r="A372" s="52"/>
      <c r="B372" s="53"/>
      <c r="C372" s="36"/>
      <c r="D372" s="36"/>
      <c r="E372" s="36"/>
      <c r="F372" s="3"/>
    </row>
    <row r="373" customFormat="false" ht="15" hidden="false" customHeight="false" outlineLevel="0" collapsed="false">
      <c r="A373" s="52"/>
      <c r="B373" s="53"/>
      <c r="C373" s="36"/>
      <c r="D373" s="36"/>
      <c r="E373" s="36"/>
      <c r="F373" s="3"/>
    </row>
    <row r="374" customFormat="false" ht="15" hidden="false" customHeight="false" outlineLevel="0" collapsed="false">
      <c r="A374" s="52"/>
      <c r="B374" s="53"/>
      <c r="C374" s="36"/>
      <c r="D374" s="36"/>
      <c r="E374" s="36"/>
      <c r="F374" s="3"/>
    </row>
    <row r="375" customFormat="false" ht="15" hidden="false" customHeight="false" outlineLevel="0" collapsed="false">
      <c r="A375" s="52"/>
      <c r="B375" s="53"/>
      <c r="C375" s="36"/>
      <c r="D375" s="36"/>
      <c r="E375" s="36"/>
      <c r="F375" s="3"/>
    </row>
    <row r="376" customFormat="false" ht="15" hidden="false" customHeight="false" outlineLevel="0" collapsed="false">
      <c r="A376" s="52"/>
      <c r="B376" s="53"/>
      <c r="C376" s="36"/>
      <c r="D376" s="36"/>
      <c r="E376" s="36"/>
      <c r="F376" s="3"/>
    </row>
    <row r="377" customFormat="false" ht="15" hidden="false" customHeight="false" outlineLevel="0" collapsed="false">
      <c r="A377" s="52"/>
      <c r="B377" s="53"/>
      <c r="C377" s="36"/>
      <c r="D377" s="36"/>
      <c r="E377" s="36"/>
      <c r="F377" s="3"/>
    </row>
    <row r="378" customFormat="false" ht="15" hidden="false" customHeight="false" outlineLevel="0" collapsed="false">
      <c r="A378" s="52"/>
      <c r="B378" s="53"/>
      <c r="C378" s="36"/>
      <c r="D378" s="36"/>
      <c r="E378" s="36"/>
      <c r="F378" s="3"/>
    </row>
    <row r="379" customFormat="false" ht="15" hidden="false" customHeight="false" outlineLevel="0" collapsed="false">
      <c r="A379" s="52"/>
      <c r="B379" s="53"/>
      <c r="C379" s="36"/>
      <c r="D379" s="36"/>
      <c r="E379" s="36"/>
      <c r="F379" s="3"/>
    </row>
    <row r="380" customFormat="false" ht="15" hidden="false" customHeight="false" outlineLevel="0" collapsed="false">
      <c r="A380" s="52"/>
      <c r="B380" s="53"/>
      <c r="C380" s="36"/>
      <c r="D380" s="36"/>
      <c r="E380" s="36"/>
      <c r="F380" s="3"/>
    </row>
    <row r="381" customFormat="false" ht="15" hidden="false" customHeight="false" outlineLevel="0" collapsed="false">
      <c r="A381" s="52"/>
      <c r="B381" s="53"/>
      <c r="C381" s="36"/>
      <c r="D381" s="36"/>
      <c r="E381" s="36"/>
      <c r="F381" s="3"/>
    </row>
    <row r="382" customFormat="false" ht="15" hidden="false" customHeight="false" outlineLevel="0" collapsed="false">
      <c r="A382" s="52"/>
      <c r="B382" s="53"/>
      <c r="C382" s="36"/>
      <c r="D382" s="36"/>
      <c r="E382" s="36"/>
      <c r="F382" s="3"/>
    </row>
    <row r="383" customFormat="false" ht="15" hidden="false" customHeight="false" outlineLevel="0" collapsed="false">
      <c r="A383" s="52"/>
      <c r="B383" s="53"/>
      <c r="C383" s="36"/>
      <c r="D383" s="36"/>
      <c r="E383" s="36"/>
      <c r="F383" s="3"/>
    </row>
    <row r="384" customFormat="false" ht="15" hidden="false" customHeight="false" outlineLevel="0" collapsed="false">
      <c r="A384" s="52"/>
      <c r="B384" s="53"/>
      <c r="C384" s="36"/>
      <c r="D384" s="36"/>
      <c r="E384" s="36"/>
      <c r="F384" s="3"/>
    </row>
    <row r="385" customFormat="false" ht="15" hidden="false" customHeight="false" outlineLevel="0" collapsed="false">
      <c r="A385" s="52"/>
      <c r="B385" s="53"/>
      <c r="C385" s="36"/>
      <c r="D385" s="36"/>
      <c r="E385" s="36"/>
      <c r="F385" s="3"/>
    </row>
    <row r="386" customFormat="false" ht="15" hidden="false" customHeight="false" outlineLevel="0" collapsed="false">
      <c r="A386" s="52"/>
      <c r="B386" s="53"/>
      <c r="C386" s="36"/>
      <c r="D386" s="36"/>
      <c r="E386" s="36"/>
      <c r="F386" s="3"/>
    </row>
    <row r="387" customFormat="false" ht="15" hidden="false" customHeight="false" outlineLevel="0" collapsed="false">
      <c r="A387" s="52"/>
      <c r="B387" s="53"/>
      <c r="C387" s="36"/>
      <c r="D387" s="36"/>
      <c r="E387" s="36"/>
      <c r="F387" s="3"/>
    </row>
    <row r="388" customFormat="false" ht="15" hidden="false" customHeight="false" outlineLevel="0" collapsed="false">
      <c r="A388" s="52"/>
      <c r="B388" s="53"/>
      <c r="C388" s="36"/>
      <c r="D388" s="36"/>
      <c r="E388" s="36"/>
      <c r="F388" s="3"/>
    </row>
    <row r="389" customFormat="false" ht="15" hidden="false" customHeight="false" outlineLevel="0" collapsed="false">
      <c r="A389" s="52"/>
      <c r="B389" s="53"/>
      <c r="C389" s="36"/>
      <c r="D389" s="36"/>
      <c r="E389" s="36"/>
      <c r="F389" s="3"/>
    </row>
    <row r="390" customFormat="false" ht="15" hidden="false" customHeight="false" outlineLevel="0" collapsed="false">
      <c r="A390" s="52"/>
      <c r="B390" s="53"/>
      <c r="C390" s="36"/>
      <c r="D390" s="36"/>
      <c r="E390" s="36"/>
      <c r="F390" s="3"/>
    </row>
    <row r="391" customFormat="false" ht="15" hidden="false" customHeight="false" outlineLevel="0" collapsed="false">
      <c r="A391" s="52"/>
      <c r="B391" s="53"/>
      <c r="C391" s="36"/>
      <c r="D391" s="36"/>
      <c r="E391" s="36"/>
      <c r="F391" s="3"/>
    </row>
    <row r="392" customFormat="false" ht="15" hidden="false" customHeight="false" outlineLevel="0" collapsed="false">
      <c r="A392" s="52"/>
      <c r="B392" s="53"/>
      <c r="C392" s="36"/>
      <c r="D392" s="36"/>
      <c r="E392" s="36"/>
      <c r="F392" s="3"/>
    </row>
    <row r="393" customFormat="false" ht="15" hidden="false" customHeight="false" outlineLevel="0" collapsed="false">
      <c r="A393" s="52"/>
      <c r="B393" s="53"/>
      <c r="C393" s="36"/>
      <c r="D393" s="36"/>
      <c r="E393" s="36"/>
      <c r="F393" s="3"/>
    </row>
    <row r="394" customFormat="false" ht="15" hidden="false" customHeight="false" outlineLevel="0" collapsed="false">
      <c r="A394" s="52"/>
      <c r="B394" s="53"/>
      <c r="C394" s="36"/>
      <c r="D394" s="36"/>
      <c r="E394" s="36"/>
      <c r="F394" s="3"/>
    </row>
    <row r="395" customFormat="false" ht="15" hidden="false" customHeight="false" outlineLevel="0" collapsed="false">
      <c r="A395" s="52"/>
      <c r="B395" s="53"/>
      <c r="C395" s="36"/>
      <c r="D395" s="36"/>
      <c r="E395" s="36"/>
      <c r="F395" s="3"/>
    </row>
    <row r="396" customFormat="false" ht="15" hidden="false" customHeight="false" outlineLevel="0" collapsed="false">
      <c r="A396" s="52"/>
      <c r="B396" s="53"/>
      <c r="C396" s="36"/>
      <c r="D396" s="36"/>
      <c r="E396" s="36"/>
      <c r="F396" s="3"/>
    </row>
    <row r="397" customFormat="false" ht="15" hidden="false" customHeight="false" outlineLevel="0" collapsed="false">
      <c r="A397" s="52"/>
      <c r="B397" s="53"/>
      <c r="C397" s="36"/>
      <c r="D397" s="36"/>
      <c r="E397" s="36"/>
      <c r="F397" s="3"/>
    </row>
    <row r="398" customFormat="false" ht="15" hidden="false" customHeight="false" outlineLevel="0" collapsed="false">
      <c r="A398" s="52"/>
      <c r="B398" s="53"/>
      <c r="C398" s="36"/>
      <c r="D398" s="36"/>
      <c r="E398" s="36"/>
      <c r="F398" s="3"/>
    </row>
    <row r="399" customFormat="false" ht="15" hidden="false" customHeight="false" outlineLevel="0" collapsed="false">
      <c r="A399" s="52"/>
      <c r="B399" s="53"/>
      <c r="C399" s="36"/>
      <c r="D399" s="36"/>
      <c r="E399" s="36"/>
      <c r="F399" s="3"/>
    </row>
    <row r="400" customFormat="false" ht="15" hidden="false" customHeight="false" outlineLevel="0" collapsed="false">
      <c r="A400" s="52"/>
      <c r="B400" s="53"/>
      <c r="C400" s="36"/>
      <c r="D400" s="36"/>
      <c r="E400" s="36"/>
      <c r="F400" s="3"/>
    </row>
    <row r="401" customFormat="false" ht="15" hidden="false" customHeight="false" outlineLevel="0" collapsed="false">
      <c r="A401" s="52"/>
      <c r="B401" s="53"/>
      <c r="C401" s="36"/>
      <c r="D401" s="36"/>
      <c r="E401" s="36"/>
      <c r="F401" s="3"/>
    </row>
    <row r="402" customFormat="false" ht="15" hidden="false" customHeight="false" outlineLevel="0" collapsed="false">
      <c r="A402" s="52"/>
      <c r="B402" s="53"/>
      <c r="C402" s="36"/>
      <c r="D402" s="36"/>
      <c r="E402" s="36"/>
      <c r="F402" s="3"/>
    </row>
    <row r="403" customFormat="false" ht="15" hidden="false" customHeight="false" outlineLevel="0" collapsed="false">
      <c r="A403" s="52"/>
      <c r="B403" s="53"/>
      <c r="C403" s="36"/>
      <c r="D403" s="36"/>
      <c r="E403" s="36"/>
      <c r="F403" s="3"/>
    </row>
    <row r="404" customFormat="false" ht="15" hidden="false" customHeight="false" outlineLevel="0" collapsed="false">
      <c r="A404" s="52"/>
      <c r="B404" s="53"/>
      <c r="C404" s="36"/>
      <c r="D404" s="36"/>
      <c r="E404" s="36"/>
      <c r="F40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2026-10-20T00:12:48Z</dcterms:created>
  <dc:creator>openpyxl</dc:creator>
  <dc:description/>
  <dc:language>en-US</dc:language>
  <cp:lastModifiedBy/>
  <dcterms:modified xsi:type="dcterms:W3CDTF">2026-10-20T00:12:48Z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